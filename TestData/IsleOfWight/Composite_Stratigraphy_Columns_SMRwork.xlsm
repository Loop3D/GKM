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\Loop3DGKM\TestData\IsleOfWight\"/>
    </mc:Choice>
  </mc:AlternateContent>
  <xr:revisionPtr revIDLastSave="0" documentId="13_ncr:1_{89E461EE-9EA1-4EEF-9647-940375922E47}" xr6:coauthVersionLast="45" xr6:coauthVersionMax="45" xr10:uidLastSave="{00000000-0000-0000-0000-000000000000}"/>
  <bookViews>
    <workbookView xWindow="360" yWindow="405" windowWidth="19515" windowHeight="12495" tabRatio="803" xr2:uid="{00000000-000D-0000-FFFF-FFFF00000000}"/>
  </bookViews>
  <sheets>
    <sheet name="PM1" sheetId="6" r:id="rId1"/>
    <sheet name="PM2" sheetId="7" state="hidden" r:id="rId2"/>
    <sheet name="PM3" sheetId="8" state="hidden" r:id="rId3"/>
    <sheet name="PM4" sheetId="13" state="hidden" r:id="rId4"/>
    <sheet name="PM5" sheetId="9" state="hidden" r:id="rId5"/>
    <sheet name="PM6" sheetId="10" state="hidden" r:id="rId6"/>
    <sheet name="PM7" sheetId="11" state="hidden" r:id="rId7"/>
    <sheet name="rdf" sheetId="21" r:id="rId8"/>
    <sheet name="References" sheetId="15" r:id="rId9"/>
    <sheet name="VocabularyCodes" sheetId="14" r:id="rId10"/>
    <sheet name="ContactProcess" sheetId="17" r:id="rId11"/>
    <sheet name="Lithology" sheetId="16" r:id="rId12"/>
    <sheet name="Paleoenvironment" sheetId="18" r:id="rId13"/>
    <sheet name="unitName" sheetId="20" r:id="rId14"/>
  </sheets>
  <functionGroups builtInGroupCount="19"/>
  <definedNames>
    <definedName name="_xlnm._FilterDatabase" localSheetId="0" hidden="1">'PM1'!$A$1:$AO$1124</definedName>
    <definedName name="Additional_Lithology_Description">'PM1'!$AH$2:$AH$28</definedName>
    <definedName name="AgeMax">'PM1'!$O$2:$O$28</definedName>
    <definedName name="AgeMin">'PM1'!$N$2:$N$28</definedName>
    <definedName name="AgeProv">'PM1'!$P$2:$P$28</definedName>
    <definedName name="Basal_Contact">'PM1'!$W$2:$W$28</definedName>
    <definedName name="BasalBoundaryID">'PM1'!$R$2:$R$28</definedName>
    <definedName name="BasalContactID">'PM1'!$Q$2:$Q$28</definedName>
    <definedName name="BasalContactProcessURI">'PM1'!$X$2:$X$28</definedName>
    <definedName name="BasalContactSubClassURI">'PM1'!$Y$2:$Y$28</definedName>
    <definedName name="Bed">'PM1'!$L$2:$L$28</definedName>
    <definedName name="Bed_Code">'PM1'!$M$2:$M$28</definedName>
    <definedName name="Dominant_Lithology">'PM1'!$Z$2:$Z$28</definedName>
    <definedName name="Dominant_Lithology_Code">'PM1'!$AB$2:$AB$28</definedName>
    <definedName name="DominantLithURI">'PM1'!$AA$2:$AA$28</definedName>
    <definedName name="Formation">'PM1'!$H$2:$H$28</definedName>
    <definedName name="Formation_Code">'PM1'!$I$2:$I$28</definedName>
    <definedName name="Group">'PM1'!$F$2:$F$28</definedName>
    <definedName name="Group_Code">'PM1'!$G$2:$G$28</definedName>
    <definedName name="label">'PM1'!$D$2:$D$28</definedName>
    <definedName name="LithoStratClass">'PM1'!$B$2:$B$28</definedName>
    <definedName name="Lookup_contact">ContactProcess!$A$2:$D$9</definedName>
    <definedName name="Lookup_environment">Paleoenvironment!$A$2:$B$31</definedName>
    <definedName name="Lookup_Lithology">Lithology!$A$2:$D$29</definedName>
    <definedName name="LookupAbbrev">unitName!$H$2:$I$63</definedName>
    <definedName name="Member">'PM1'!$J$2:$J$28</definedName>
    <definedName name="Member_Code">'PM1'!$K$2:$K$28</definedName>
    <definedName name="Other_Dominant_Lithology_Code">'PM1'!$AF$2:$AF$28</definedName>
    <definedName name="Other_Subordinate_Lithology_Code">'PM1'!$AG$2:$AG$28</definedName>
    <definedName name="Palaeoenvironment">'PM1'!$AN$2:$AN$28</definedName>
    <definedName name="PaleoenvURI">'PM1'!$AM$2:$AM$28</definedName>
    <definedName name="part_of">'PM1'!$E$2:$E$28</definedName>
    <definedName name="References">'PM1'!$AO$2:$AO$28</definedName>
    <definedName name="Regional_Composite_Column_ID">'PM1'!$A$2:$A$28</definedName>
    <definedName name="Subordinate_Lithology">'PM1'!$AC$2:$AC$28</definedName>
    <definedName name="Subordinate_Lithology_Code">'PM1'!$AE$2:$AE$28</definedName>
    <definedName name="SubordinateLithURI">'PM1'!$AD$2:$AD$28</definedName>
    <definedName name="Thickness_Range__m">'PM1'!$AL$2:$AL$28</definedName>
    <definedName name="ThicknessMax">'PM1'!$AJ$2:$AJ$28</definedName>
    <definedName name="ThicknessMin">'PM1'!$AI$2:$AI$28</definedName>
    <definedName name="ThicknessProv">'PM1'!$AK$2:$AK$28</definedName>
    <definedName name="TopBoundaryID">'PM1'!$S$2:$S$28</definedName>
    <definedName name="TopBoundaryProcess">'PM1'!$T$2:$T$28</definedName>
    <definedName name="UnderlyingUnit">'PM1'!$U$2:$U$28</definedName>
    <definedName name="underlyingUnitURI">'PM1'!$V$2:$V$28</definedName>
    <definedName name="UnitURI">'PM1'!$C$2:$C$28</definedName>
    <definedName name="unitURIlookup">unitName!$A$2:$B$63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21" l="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" i="21"/>
  <c r="F28" i="21"/>
  <c r="F24" i="21"/>
  <c r="F20" i="21"/>
  <c r="F16" i="21"/>
  <c r="F12" i="21"/>
  <c r="F8" i="21"/>
  <c r="F2" i="21"/>
  <c r="F23" i="21"/>
  <c r="F19" i="21"/>
  <c r="F15" i="21"/>
  <c r="F11" i="21"/>
  <c r="F7" i="21"/>
  <c r="F6" i="21"/>
  <c r="F25" i="21"/>
  <c r="F17" i="21"/>
  <c r="F9" i="21"/>
  <c r="F5" i="21"/>
  <c r="F27" i="21"/>
  <c r="F26" i="21"/>
  <c r="F22" i="21"/>
  <c r="F18" i="21"/>
  <c r="F14" i="21"/>
  <c r="F10" i="21"/>
  <c r="F21" i="21"/>
  <c r="F13" i="21"/>
  <c r="F4" i="21"/>
  <c r="F3" i="21"/>
  <c r="B2" i="21"/>
  <c r="B3" i="21"/>
  <c r="B7" i="21"/>
  <c r="B11" i="21"/>
  <c r="B15" i="21"/>
  <c r="B19" i="21"/>
  <c r="B23" i="21"/>
  <c r="B27" i="21"/>
  <c r="B8" i="21"/>
  <c r="B12" i="21"/>
  <c r="B16" i="21"/>
  <c r="B20" i="21"/>
  <c r="B24" i="21"/>
  <c r="B28" i="21"/>
  <c r="B4" i="21"/>
  <c r="B5" i="21"/>
  <c r="B9" i="21"/>
  <c r="B13" i="21"/>
  <c r="B17" i="21"/>
  <c r="B21" i="21"/>
  <c r="B25" i="21"/>
  <c r="B6" i="21"/>
  <c r="B10" i="21"/>
  <c r="B14" i="21"/>
  <c r="B18" i="21"/>
  <c r="B22" i="21"/>
  <c r="B26" i="21"/>
  <c r="E3" i="21"/>
  <c r="E7" i="21"/>
  <c r="E11" i="21"/>
  <c r="E15" i="21"/>
  <c r="E19" i="21"/>
  <c r="E23" i="21"/>
  <c r="E27" i="21"/>
  <c r="E4" i="21"/>
  <c r="E8" i="21"/>
  <c r="E12" i="21"/>
  <c r="E16" i="21"/>
  <c r="E20" i="21"/>
  <c r="E24" i="21"/>
  <c r="E28" i="21"/>
  <c r="E5" i="21"/>
  <c r="E9" i="21"/>
  <c r="E13" i="21"/>
  <c r="E17" i="21"/>
  <c r="E21" i="21"/>
  <c r="E25" i="21"/>
  <c r="E6" i="21"/>
  <c r="E10" i="21"/>
  <c r="E14" i="21"/>
  <c r="E18" i="21"/>
  <c r="E22" i="21"/>
  <c r="E26" i="21"/>
  <c r="E2" i="21"/>
  <c r="D3" i="21" l="1"/>
  <c r="I3" i="21"/>
  <c r="D4" i="21"/>
  <c r="I4" i="21"/>
  <c r="D5" i="21"/>
  <c r="I5" i="21"/>
  <c r="D6" i="21"/>
  <c r="I6" i="21"/>
  <c r="D7" i="21"/>
  <c r="I7" i="21"/>
  <c r="D8" i="21"/>
  <c r="I8" i="21"/>
  <c r="D9" i="21"/>
  <c r="I9" i="21"/>
  <c r="D10" i="21"/>
  <c r="I10" i="21"/>
  <c r="D11" i="21"/>
  <c r="I11" i="21"/>
  <c r="D12" i="21"/>
  <c r="I12" i="21"/>
  <c r="D13" i="21"/>
  <c r="I13" i="21"/>
  <c r="D14" i="21"/>
  <c r="I14" i="21"/>
  <c r="D15" i="21"/>
  <c r="I15" i="21"/>
  <c r="D16" i="21"/>
  <c r="I16" i="21"/>
  <c r="D17" i="21"/>
  <c r="I17" i="21"/>
  <c r="D18" i="21"/>
  <c r="I18" i="21"/>
  <c r="D19" i="21"/>
  <c r="I19" i="21"/>
  <c r="D20" i="21"/>
  <c r="I20" i="21"/>
  <c r="D21" i="21"/>
  <c r="I21" i="21"/>
  <c r="D22" i="21"/>
  <c r="I22" i="21"/>
  <c r="D23" i="21"/>
  <c r="I23" i="21"/>
  <c r="D24" i="21"/>
  <c r="I24" i="21"/>
  <c r="D25" i="21"/>
  <c r="I25" i="21"/>
  <c r="D26" i="21"/>
  <c r="I26" i="21"/>
  <c r="D27" i="21"/>
  <c r="I27" i="21"/>
  <c r="D28" i="21"/>
  <c r="I28" i="21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2" i="20"/>
  <c r="L2" i="21"/>
  <c r="I2" i="21"/>
  <c r="Y2" i="6"/>
  <c r="G4" i="21"/>
  <c r="C10" i="21"/>
  <c r="G12" i="21"/>
  <c r="C18" i="21"/>
  <c r="G20" i="21"/>
  <c r="C26" i="21"/>
  <c r="G28" i="21"/>
  <c r="J19" i="21"/>
  <c r="J25" i="21"/>
  <c r="J28" i="21"/>
  <c r="J9" i="21"/>
  <c r="J23" i="21"/>
  <c r="J12" i="21"/>
  <c r="C3" i="21"/>
  <c r="G5" i="21"/>
  <c r="C11" i="21"/>
  <c r="G13" i="21"/>
  <c r="C19" i="21"/>
  <c r="G21" i="21"/>
  <c r="C27" i="21"/>
  <c r="J6" i="21"/>
  <c r="J22" i="21"/>
  <c r="C2" i="21"/>
  <c r="C5" i="21"/>
  <c r="J14" i="21"/>
  <c r="C8" i="21"/>
  <c r="G10" i="21"/>
  <c r="C16" i="21"/>
  <c r="G18" i="21"/>
  <c r="C24" i="21"/>
  <c r="G26" i="21"/>
  <c r="J7" i="21"/>
  <c r="J15" i="21"/>
  <c r="G3" i="21"/>
  <c r="C9" i="21"/>
  <c r="G11" i="21"/>
  <c r="C17" i="21"/>
  <c r="G19" i="21"/>
  <c r="C25" i="21"/>
  <c r="G27" i="21"/>
  <c r="J4" i="21"/>
  <c r="J26" i="21"/>
  <c r="G2" i="21"/>
  <c r="J2" i="21"/>
  <c r="G6" i="21"/>
  <c r="C12" i="21"/>
  <c r="G14" i="21"/>
  <c r="C20" i="21"/>
  <c r="G22" i="21"/>
  <c r="C28" i="21"/>
  <c r="J3" i="21"/>
  <c r="J17" i="21"/>
  <c r="G7" i="21"/>
  <c r="C13" i="21"/>
  <c r="G15" i="21"/>
  <c r="C21" i="21"/>
  <c r="G23" i="21"/>
  <c r="J8" i="21"/>
  <c r="C6" i="21"/>
  <c r="G8" i="21"/>
  <c r="C14" i="21"/>
  <c r="G16" i="21"/>
  <c r="C22" i="21"/>
  <c r="G24" i="21"/>
  <c r="J24" i="21"/>
  <c r="J5" i="21"/>
  <c r="J13" i="21"/>
  <c r="J21" i="21"/>
  <c r="J18" i="21"/>
  <c r="C7" i="21"/>
  <c r="G9" i="21"/>
  <c r="C15" i="21"/>
  <c r="G17" i="21"/>
  <c r="C23" i="21"/>
  <c r="G25" i="21"/>
  <c r="J10" i="21"/>
  <c r="C4" i="21"/>
  <c r="J16" i="21"/>
  <c r="J11" i="21"/>
  <c r="J27" i="21"/>
  <c r="J20" i="21"/>
  <c r="K22" i="21" l="1"/>
  <c r="K7" i="21"/>
  <c r="K6" i="21"/>
  <c r="K17" i="21"/>
  <c r="K9" i="21"/>
  <c r="K25" i="21"/>
  <c r="K19" i="21"/>
  <c r="K4" i="21"/>
  <c r="K28" i="21"/>
  <c r="K15" i="21"/>
  <c r="K14" i="21"/>
  <c r="K20" i="21"/>
  <c r="K8" i="21"/>
  <c r="K26" i="21"/>
  <c r="K27" i="21"/>
  <c r="K11" i="21"/>
  <c r="K3" i="21"/>
  <c r="K16" i="21"/>
  <c r="K12" i="21"/>
  <c r="K23" i="21"/>
  <c r="K18" i="21"/>
  <c r="K10" i="21"/>
  <c r="K24" i="21"/>
  <c r="K21" i="21"/>
  <c r="K13" i="21"/>
  <c r="K5" i="21"/>
  <c r="AM3" i="6"/>
  <c r="AM4" i="6"/>
  <c r="AM5" i="6"/>
  <c r="AM6" i="6"/>
  <c r="AM7" i="6"/>
  <c r="AM8" i="6"/>
  <c r="AM9" i="6"/>
  <c r="AM10" i="6"/>
  <c r="AM11" i="6"/>
  <c r="AM12" i="6"/>
  <c r="AM13" i="6"/>
  <c r="AM14" i="6"/>
  <c r="AM15" i="6"/>
  <c r="AM16" i="6"/>
  <c r="AM17" i="6"/>
  <c r="AM18" i="6"/>
  <c r="AM19" i="6"/>
  <c r="AM20" i="6"/>
  <c r="AM21" i="6"/>
  <c r="AM22" i="6"/>
  <c r="AM23" i="6"/>
  <c r="AM24" i="6"/>
  <c r="AM25" i="6"/>
  <c r="AM26" i="6"/>
  <c r="AM27" i="6"/>
  <c r="AM28" i="6"/>
  <c r="AM2" i="6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" i="6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" i="6"/>
  <c r="X3" i="6"/>
  <c r="T3" i="6" s="1"/>
  <c r="Y3" i="6"/>
  <c r="X4" i="6"/>
  <c r="T4" i="6" s="1"/>
  <c r="Y4" i="6"/>
  <c r="X5" i="6"/>
  <c r="T5" i="6" s="1"/>
  <c r="Y5" i="6"/>
  <c r="X6" i="6"/>
  <c r="Y6" i="6"/>
  <c r="Y7" i="6"/>
  <c r="X8" i="6"/>
  <c r="Y8" i="6"/>
  <c r="X9" i="6"/>
  <c r="Y9" i="6"/>
  <c r="X10" i="6"/>
  <c r="T10" i="6" s="1"/>
  <c r="Y10" i="6"/>
  <c r="X11" i="6"/>
  <c r="T11" i="6" s="1"/>
  <c r="Y11" i="6"/>
  <c r="X12" i="6"/>
  <c r="T12" i="6" s="1"/>
  <c r="Y12" i="6"/>
  <c r="Y13" i="6"/>
  <c r="X14" i="6"/>
  <c r="Y14" i="6"/>
  <c r="X15" i="6"/>
  <c r="Y15" i="6"/>
  <c r="X16" i="6"/>
  <c r="Y16" i="6"/>
  <c r="X17" i="6"/>
  <c r="Y17" i="6"/>
  <c r="X18" i="6"/>
  <c r="Y18" i="6"/>
  <c r="X19" i="6"/>
  <c r="Y19" i="6"/>
  <c r="X20" i="6"/>
  <c r="Y20" i="6"/>
  <c r="X21" i="6"/>
  <c r="Y21" i="6"/>
  <c r="X22" i="6"/>
  <c r="Y22" i="6"/>
  <c r="X23" i="6"/>
  <c r="Y23" i="6"/>
  <c r="X24" i="6"/>
  <c r="Y24" i="6"/>
  <c r="X25" i="6"/>
  <c r="Y25" i="6"/>
  <c r="X26" i="6"/>
  <c r="Y26" i="6"/>
  <c r="X27" i="6"/>
  <c r="Y27" i="6"/>
  <c r="X28" i="6"/>
  <c r="Y28" i="6"/>
  <c r="X2" i="6"/>
  <c r="T2" i="6" s="1"/>
  <c r="K2" i="21" l="1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3" i="6"/>
  <c r="V4" i="6"/>
  <c r="V5" i="6"/>
  <c r="V2" i="6"/>
  <c r="E2" i="6"/>
  <c r="D2" i="21" s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3" i="6"/>
  <c r="E54" i="6"/>
  <c r="E55" i="6"/>
  <c r="E52" i="6"/>
  <c r="E56" i="6"/>
  <c r="E57" i="6"/>
  <c r="E58" i="6"/>
  <c r="E59" i="6"/>
  <c r="E60" i="6"/>
  <c r="E61" i="6"/>
  <c r="E62" i="6"/>
  <c r="E63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2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R53" i="6"/>
  <c r="R56" i="6"/>
  <c r="R57" i="6"/>
  <c r="R58" i="6"/>
  <c r="R59" i="6"/>
  <c r="R60" i="6"/>
  <c r="R61" i="6"/>
  <c r="R62" i="6"/>
  <c r="R55" i="6"/>
  <c r="R54" i="6"/>
  <c r="R45" i="6"/>
</calcChain>
</file>

<file path=xl/sharedStrings.xml><?xml version="1.0" encoding="utf-8"?>
<sst xmlns="http://schemas.openxmlformats.org/spreadsheetml/2006/main" count="9220" uniqueCount="1336">
  <si>
    <t>STAGE/AGE</t>
  </si>
  <si>
    <t>PERIOD</t>
  </si>
  <si>
    <t>ERA</t>
  </si>
  <si>
    <t>ERA_CODE</t>
  </si>
  <si>
    <t>PERIOD_CODE</t>
  </si>
  <si>
    <t>STAGE/AGE_CODE</t>
  </si>
  <si>
    <t>Q</t>
  </si>
  <si>
    <t>N</t>
  </si>
  <si>
    <t>P</t>
  </si>
  <si>
    <t>C</t>
  </si>
  <si>
    <t>J</t>
  </si>
  <si>
    <t>T</t>
  </si>
  <si>
    <t>D</t>
  </si>
  <si>
    <t>S</t>
  </si>
  <si>
    <t>O</t>
  </si>
  <si>
    <t>E</t>
  </si>
  <si>
    <t>G</t>
  </si>
  <si>
    <t>K</t>
  </si>
  <si>
    <t>EPOCH</t>
  </si>
  <si>
    <t>EPOCH_CODE</t>
  </si>
  <si>
    <t>CARBONIFEROUS_C</t>
  </si>
  <si>
    <t>DEVONIAN_D</t>
  </si>
  <si>
    <t>SILURIAN_S</t>
  </si>
  <si>
    <t>ORDOVICIAN_O</t>
  </si>
  <si>
    <t>CAMBRIAN_E</t>
  </si>
  <si>
    <t>AD</t>
  </si>
  <si>
    <t>OR</t>
  </si>
  <si>
    <t>NT</t>
  </si>
  <si>
    <t>AC</t>
  </si>
  <si>
    <t>EDIACARAN_AD</t>
  </si>
  <si>
    <t>AT</t>
  </si>
  <si>
    <t>AS</t>
  </si>
  <si>
    <t>NC</t>
  </si>
  <si>
    <t>AI</t>
  </si>
  <si>
    <t>AB</t>
  </si>
  <si>
    <t>AY</t>
  </si>
  <si>
    <t>AQ</t>
  </si>
  <si>
    <t>AO</t>
  </si>
  <si>
    <t>AH</t>
  </si>
  <si>
    <t>CRYOGENIAN_AC</t>
  </si>
  <si>
    <t>TONIAN_AT</t>
  </si>
  <si>
    <t>STENIAN_AI</t>
  </si>
  <si>
    <t>ECTASIAN_AB</t>
  </si>
  <si>
    <t>CALYMMIAN_AY</t>
  </si>
  <si>
    <t>STATHERIAN_AQ</t>
  </si>
  <si>
    <t>OROSIRIAN_AO</t>
  </si>
  <si>
    <t>RHYACIAN_AH</t>
  </si>
  <si>
    <t>SIDERIAN_AS</t>
  </si>
  <si>
    <t>IZ</t>
  </si>
  <si>
    <t>MZ</t>
  </si>
  <si>
    <t>RZ</t>
  </si>
  <si>
    <t>AZ</t>
  </si>
  <si>
    <t>AX</t>
  </si>
  <si>
    <t>AL</t>
  </si>
  <si>
    <t>QH</t>
  </si>
  <si>
    <t>NP</t>
  </si>
  <si>
    <t>GP</t>
  </si>
  <si>
    <t>KM</t>
  </si>
  <si>
    <t>JO</t>
  </si>
  <si>
    <t>TE</t>
  </si>
  <si>
    <t>DE</t>
  </si>
  <si>
    <t>SL</t>
  </si>
  <si>
    <t>QP</t>
  </si>
  <si>
    <t>NM</t>
  </si>
  <si>
    <t>GO</t>
  </si>
  <si>
    <t>GE</t>
  </si>
  <si>
    <t>KL</t>
  </si>
  <si>
    <t>KU</t>
  </si>
  <si>
    <t>JU</t>
  </si>
  <si>
    <t>TR</t>
  </si>
  <si>
    <t>JM</t>
  </si>
  <si>
    <t>JL</t>
  </si>
  <si>
    <t>CC</t>
  </si>
  <si>
    <t>TU</t>
  </si>
  <si>
    <t>TM</t>
  </si>
  <si>
    <t>PUL</t>
  </si>
  <si>
    <t>PUG</t>
  </si>
  <si>
    <t>PUC</t>
  </si>
  <si>
    <t>PUW</t>
  </si>
  <si>
    <t>PLC</t>
  </si>
  <si>
    <t>CPE</t>
  </si>
  <si>
    <t>CMI</t>
  </si>
  <si>
    <t>DL</t>
  </si>
  <si>
    <t>DU</t>
  </si>
  <si>
    <t>DM</t>
  </si>
  <si>
    <t>SO</t>
  </si>
  <si>
    <t>SU</t>
  </si>
  <si>
    <t>SW</t>
  </si>
  <si>
    <t>OEA</t>
  </si>
  <si>
    <t>OLA</t>
  </si>
  <si>
    <t>OMD</t>
  </si>
  <si>
    <t>EF</t>
  </si>
  <si>
    <t>UNCODED_1</t>
  </si>
  <si>
    <t>UNCODED_2</t>
  </si>
  <si>
    <t>EN</t>
  </si>
  <si>
    <t>UNCODED_3</t>
  </si>
  <si>
    <t>Q2T</t>
  </si>
  <si>
    <t>Q2I</t>
  </si>
  <si>
    <t>Q2C</t>
  </si>
  <si>
    <t>Q2G</t>
  </si>
  <si>
    <t>NZ</t>
  </si>
  <si>
    <t>NE</t>
  </si>
  <si>
    <t>NS</t>
  </si>
  <si>
    <t>NL</t>
  </si>
  <si>
    <t>NB</t>
  </si>
  <si>
    <t>NA</t>
  </si>
  <si>
    <t>GC</t>
  </si>
  <si>
    <t>GR</t>
  </si>
  <si>
    <t>GI</t>
  </si>
  <si>
    <t>GB</t>
  </si>
  <si>
    <t>GL</t>
  </si>
  <si>
    <t>GY</t>
  </si>
  <si>
    <t>GT</t>
  </si>
  <si>
    <t>GS</t>
  </si>
  <si>
    <t>GD</t>
  </si>
  <si>
    <t>KC</t>
  </si>
  <si>
    <t>KS</t>
  </si>
  <si>
    <t>KO</t>
  </si>
  <si>
    <t>KT</t>
  </si>
  <si>
    <t>KE</t>
  </si>
  <si>
    <t>KA</t>
  </si>
  <si>
    <t>KP</t>
  </si>
  <si>
    <t>KB</t>
  </si>
  <si>
    <t>KH</t>
  </si>
  <si>
    <t>KV</t>
  </si>
  <si>
    <t>KR</t>
  </si>
  <si>
    <t>JI</t>
  </si>
  <si>
    <t>JD</t>
  </si>
  <si>
    <t>JC</t>
  </si>
  <si>
    <t>JN</t>
  </si>
  <si>
    <t>JB</t>
  </si>
  <si>
    <t>JA</t>
  </si>
  <si>
    <t>JT</t>
  </si>
  <si>
    <t>JE</t>
  </si>
  <si>
    <t>JS</t>
  </si>
  <si>
    <t>JH</t>
  </si>
  <si>
    <t>TN</t>
  </si>
  <si>
    <t>TC</t>
  </si>
  <si>
    <t>TD</t>
  </si>
  <si>
    <t>TA</t>
  </si>
  <si>
    <t>TO</t>
  </si>
  <si>
    <t>TI</t>
  </si>
  <si>
    <t>PUH</t>
  </si>
  <si>
    <t>PUD</t>
  </si>
  <si>
    <t>PUR</t>
  </si>
  <si>
    <t>PK</t>
  </si>
  <si>
    <t>PI</t>
  </si>
  <si>
    <t>PS</t>
  </si>
  <si>
    <t>PA</t>
  </si>
  <si>
    <t>CST</t>
  </si>
  <si>
    <t>CB</t>
  </si>
  <si>
    <t>CA</t>
  </si>
  <si>
    <t>CY</t>
  </si>
  <si>
    <t>CZ</t>
  </si>
  <si>
    <t>CK</t>
  </si>
  <si>
    <t>CO</t>
  </si>
  <si>
    <t>CH</t>
  </si>
  <si>
    <t>CG</t>
  </si>
  <si>
    <t>CE</t>
  </si>
  <si>
    <t>CX</t>
  </si>
  <si>
    <t>CR</t>
  </si>
  <si>
    <t>CQ</t>
  </si>
  <si>
    <t>CJ</t>
  </si>
  <si>
    <t>CI</t>
  </si>
  <si>
    <t>CF</t>
  </si>
  <si>
    <t>CGZ</t>
  </si>
  <si>
    <t>CKS</t>
  </si>
  <si>
    <t>CMO</t>
  </si>
  <si>
    <t>CBS</t>
  </si>
  <si>
    <t>CSR</t>
  </si>
  <si>
    <t>CV</t>
  </si>
  <si>
    <t>CT</t>
  </si>
  <si>
    <t>DA</t>
  </si>
  <si>
    <t>DR</t>
  </si>
  <si>
    <t>DV</t>
  </si>
  <si>
    <t>DI</t>
  </si>
  <si>
    <t>DP</t>
  </si>
  <si>
    <t>DO</t>
  </si>
  <si>
    <t>SD</t>
  </si>
  <si>
    <t>SG</t>
  </si>
  <si>
    <t>SH</t>
  </si>
  <si>
    <t>SS</t>
  </si>
  <si>
    <t>ST</t>
  </si>
  <si>
    <t>SA</t>
  </si>
  <si>
    <t>SR</t>
  </si>
  <si>
    <t>OH</t>
  </si>
  <si>
    <t>OKA</t>
  </si>
  <si>
    <t>OSA</t>
  </si>
  <si>
    <t>ODW</t>
  </si>
  <si>
    <t>ODP</t>
  </si>
  <si>
    <t>OFL</t>
  </si>
  <si>
    <t>O1</t>
  </si>
  <si>
    <t>OA</t>
  </si>
  <si>
    <t>O4</t>
  </si>
  <si>
    <t>OE</t>
  </si>
  <si>
    <t>E10</t>
  </si>
  <si>
    <t>E09</t>
  </si>
  <si>
    <t>E08</t>
  </si>
  <si>
    <t>EGZ</t>
  </si>
  <si>
    <t>EDM</t>
  </si>
  <si>
    <t>E05</t>
  </si>
  <si>
    <t>E04</t>
  </si>
  <si>
    <t>E03</t>
  </si>
  <si>
    <t>E02</t>
  </si>
  <si>
    <t>EFT</t>
  </si>
  <si>
    <t>EM</t>
  </si>
  <si>
    <t>ED</t>
  </si>
  <si>
    <t>EC</t>
  </si>
  <si>
    <t>E3</t>
  </si>
  <si>
    <t>E2</t>
  </si>
  <si>
    <t>CENOZOIC_IZ</t>
  </si>
  <si>
    <t>MESOZOIC_MZ</t>
  </si>
  <si>
    <t>PALAEOZOIC_RZ</t>
  </si>
  <si>
    <t>NEOPROTEROZOIC_AZ</t>
  </si>
  <si>
    <t>MESOPROTEROZOIC_AX</t>
  </si>
  <si>
    <t>PALAEOPROTEROZOIC_AL</t>
  </si>
  <si>
    <t>QUATERNARY _Q</t>
  </si>
  <si>
    <t>NEOGENE _N</t>
  </si>
  <si>
    <t>PALAEOGENE _G</t>
  </si>
  <si>
    <t>CRETACEOUS _K</t>
  </si>
  <si>
    <t>JURASSIC _J</t>
  </si>
  <si>
    <t>TRIASSIC _T</t>
  </si>
  <si>
    <t>PERMIAN _P</t>
  </si>
  <si>
    <t>HOLOCENE_QH</t>
  </si>
  <si>
    <t>PLEISTOCENE_QP</t>
  </si>
  <si>
    <t>PLIOCENE_NP</t>
  </si>
  <si>
    <t>MIOCENE_NM</t>
  </si>
  <si>
    <t>OLIGOCENE_GO</t>
  </si>
  <si>
    <t>EOCENE_GE</t>
  </si>
  <si>
    <t>PALEOCENE_GP</t>
  </si>
  <si>
    <t>LATE CRETACEOUS_KU</t>
  </si>
  <si>
    <t>EARLY CRETACEOUS_KL</t>
  </si>
  <si>
    <t>LATE JURASSIC_JU</t>
  </si>
  <si>
    <t>MID JURASSIC_JM</t>
  </si>
  <si>
    <t>EARLY JURASSIC_JL</t>
  </si>
  <si>
    <t>LATE TRIASSIC_TU</t>
  </si>
  <si>
    <t>MID TRIASSIC_TM</t>
  </si>
  <si>
    <t>EARLY TRIASSIC_TE</t>
  </si>
  <si>
    <t>LOPINGIAN_PUL</t>
  </si>
  <si>
    <t>GUADALUPIAN_PUG</t>
  </si>
  <si>
    <t>CISURALIAN_PLC</t>
  </si>
  <si>
    <t>PENNSYLVANIAN_CPE</t>
  </si>
  <si>
    <t>MISSISSIPPIAN_CMI</t>
  </si>
  <si>
    <t>LATE DEVONIAN_DU</t>
  </si>
  <si>
    <t>MID DEVONIAN_DM</t>
  </si>
  <si>
    <t>EARLY DEVONIAN_DL</t>
  </si>
  <si>
    <t>PRIDOLI_SO</t>
  </si>
  <si>
    <t>LUDLOW_SO</t>
  </si>
  <si>
    <t>WENLOCK_SW</t>
  </si>
  <si>
    <t>LLANDOVERY_SL</t>
  </si>
  <si>
    <t>LATE ORDOVICIAN_OLA</t>
  </si>
  <si>
    <t>MID ORDOVICIAN_OMD</t>
  </si>
  <si>
    <t>EARLY ORDOVICIAN_OEA</t>
  </si>
  <si>
    <t>FURONGIAN_EF</t>
  </si>
  <si>
    <t>EPOCH 3_E3</t>
  </si>
  <si>
    <t>EPOCH 2_E2</t>
  </si>
  <si>
    <t>TERRENEUVIAN_EN</t>
  </si>
  <si>
    <t>UNDIFFERENTIATED_UNCODED_1</t>
  </si>
  <si>
    <t>TARANTIAN_Q2T</t>
  </si>
  <si>
    <t>IONIAN_Q2I</t>
  </si>
  <si>
    <t>CALABRIAN_Q2C</t>
  </si>
  <si>
    <t>GELASIAN_Q2G</t>
  </si>
  <si>
    <t>PIACENZIAN_NC</t>
  </si>
  <si>
    <t>ZANCLEAN_NZ</t>
  </si>
  <si>
    <t>MESSINIAN_NE</t>
  </si>
  <si>
    <t>TORTONIAN_NT</t>
  </si>
  <si>
    <t>SERRAVALLIAN_NS</t>
  </si>
  <si>
    <t>LANGHIAN_NL</t>
  </si>
  <si>
    <t>BURDIGALIAN_NB</t>
  </si>
  <si>
    <t>AQUITANIAN_NA</t>
  </si>
  <si>
    <t>CHATTIAN_GC</t>
  </si>
  <si>
    <t>RUPELIAN_GR</t>
  </si>
  <si>
    <t>PRIABONIAN_GI</t>
  </si>
  <si>
    <t>BARTONIAN_GB</t>
  </si>
  <si>
    <t>LUTETIAN_GL</t>
  </si>
  <si>
    <t>YPRESIAN_GY</t>
  </si>
  <si>
    <t>THANETIAN_GT</t>
  </si>
  <si>
    <t>SELANDIAN_GS</t>
  </si>
  <si>
    <t>DANIAN_GD</t>
  </si>
  <si>
    <t>MAASTRICHTIAN_KM</t>
  </si>
  <si>
    <t>CAMPANIAN_KC</t>
  </si>
  <si>
    <t>SANTONIAN_KS</t>
  </si>
  <si>
    <t>CONIACIAN_KO</t>
  </si>
  <si>
    <t>TURONIAN_KT</t>
  </si>
  <si>
    <t>CENOMANIAN_KE</t>
  </si>
  <si>
    <t>ALBIAN_KA</t>
  </si>
  <si>
    <t>APTIAN_KP</t>
  </si>
  <si>
    <t>BARREMIAN_KB</t>
  </si>
  <si>
    <t>HAUTERIVIAN_KH</t>
  </si>
  <si>
    <t>VALANGINIAN_KV</t>
  </si>
  <si>
    <t>BERRIASIAN_KR</t>
  </si>
  <si>
    <t>TITHONIAN_JI</t>
  </si>
  <si>
    <t>KIMMERIDGIAN_JD</t>
  </si>
  <si>
    <t>OXFORDIAN_JO</t>
  </si>
  <si>
    <t>CALLOVIAN_JC</t>
  </si>
  <si>
    <t>BATHONIAN_JN</t>
  </si>
  <si>
    <t>BAJOCIAN_JB</t>
  </si>
  <si>
    <t>AALENIAN_JA</t>
  </si>
  <si>
    <t>TOARCIAN_JT</t>
  </si>
  <si>
    <t>PLIENSBACHIAN_JE</t>
  </si>
  <si>
    <t>SINEMURIAN_JS</t>
  </si>
  <si>
    <t>HETTANGIAN_JH</t>
  </si>
  <si>
    <t>RHAETIAN_TR</t>
  </si>
  <si>
    <t>NORIAN_TN</t>
  </si>
  <si>
    <t>CARNIAN_TC</t>
  </si>
  <si>
    <t>LADINIAN_TD</t>
  </si>
  <si>
    <t>ANISIAN_TA</t>
  </si>
  <si>
    <t>OLENEKIAN_TO</t>
  </si>
  <si>
    <t>INDUAN_TI</t>
  </si>
  <si>
    <t>CHANGHSINGIAN_PUH</t>
  </si>
  <si>
    <t>WUCHIAPINGIAN_PUW</t>
  </si>
  <si>
    <t>CAPITANIAN_PUC</t>
  </si>
  <si>
    <t>WORDIAN_PUD</t>
  </si>
  <si>
    <t>ROADIAN_PUR</t>
  </si>
  <si>
    <t>KUNGURIAN_PK</t>
  </si>
  <si>
    <t>ARTINSKIAN_PI</t>
  </si>
  <si>
    <t>SAKMARIAN_PS</t>
  </si>
  <si>
    <t>ASSELIAN_PA</t>
  </si>
  <si>
    <t>BARRUELIAN_UNCODED_2</t>
  </si>
  <si>
    <t>CANTABRIAN_CST</t>
  </si>
  <si>
    <t>BOLSOVIAN_CC</t>
  </si>
  <si>
    <t>DUCKMANTIAN_CB</t>
  </si>
  <si>
    <t>LANGSETTIAN_CA</t>
  </si>
  <si>
    <t>YEADONIAN_CY</t>
  </si>
  <si>
    <t>MARSDENIAN_CZ</t>
  </si>
  <si>
    <t>KINDERSCOUTIAN_CK</t>
  </si>
  <si>
    <t>ALPORTIAN_CO</t>
  </si>
  <si>
    <t>CHOKERIAN_CH</t>
  </si>
  <si>
    <t>ARNSBERGIAN_CG</t>
  </si>
  <si>
    <t>PENDLEIAN_CE</t>
  </si>
  <si>
    <t>BRIGANTIAN_CX</t>
  </si>
  <si>
    <t>ASBIAN_CR</t>
  </si>
  <si>
    <t>HOLKERIAN_CQ</t>
  </si>
  <si>
    <t>ARUNDIAN_CJ</t>
  </si>
  <si>
    <t>CHADIAN_CI</t>
  </si>
  <si>
    <t>COURCEYAN_CF</t>
  </si>
  <si>
    <t>GZHELIAN_CGZ</t>
  </si>
  <si>
    <t>KASIMOVIAN_CKS</t>
  </si>
  <si>
    <t>MOSCOVIAN_CMO</t>
  </si>
  <si>
    <t>BASHKIRIAN_CBS</t>
  </si>
  <si>
    <t>SERPUKHOVIAN_CSR</t>
  </si>
  <si>
    <t>VISEAN_CV</t>
  </si>
  <si>
    <t>TOURNASIAN_CT</t>
  </si>
  <si>
    <t>FAMENNIAN_DA</t>
  </si>
  <si>
    <t>FRASNIAN_DR</t>
  </si>
  <si>
    <t>GIVETIAN_DV</t>
  </si>
  <si>
    <t>EIFELIAN_DI</t>
  </si>
  <si>
    <t>EMSIAN_DE</t>
  </si>
  <si>
    <t>PRAGIAN_DP</t>
  </si>
  <si>
    <t>LOCHKOVIAN_DO</t>
  </si>
  <si>
    <t>LUDFORDIAN_SD</t>
  </si>
  <si>
    <t>GORSTIAN_SG</t>
  </si>
  <si>
    <t>HOMERIAN_SH</t>
  </si>
  <si>
    <t>SHEINWOODIAN_SS</t>
  </si>
  <si>
    <t>TELYCHIAN_ST</t>
  </si>
  <si>
    <t>AERONIAN_SA</t>
  </si>
  <si>
    <t>RHUDDANIAN_SR</t>
  </si>
  <si>
    <t>HIRNANTIAN_OH</t>
  </si>
  <si>
    <t>KATIAN_OKA</t>
  </si>
  <si>
    <t>SANDBIAN_OSA</t>
  </si>
  <si>
    <t>DARRIWILIAN_ODW</t>
  </si>
  <si>
    <t>DAPINGIAN_ODP</t>
  </si>
  <si>
    <t>FLOIAN_OFL</t>
  </si>
  <si>
    <t>TREMADOCIAN_O1</t>
  </si>
  <si>
    <t>ASHGILL_OA</t>
  </si>
  <si>
    <t>CARADOC_O4</t>
  </si>
  <si>
    <t>LLANVIRN_OE</t>
  </si>
  <si>
    <t>ARENIG_OR</t>
  </si>
  <si>
    <t>AGE 10_E10</t>
  </si>
  <si>
    <t>JIANGSHANIAN_E09</t>
  </si>
  <si>
    <t>PAIBIAN_E08</t>
  </si>
  <si>
    <t>GUZHANGIAN_EGZ</t>
  </si>
  <si>
    <t>DRUMIAN_EDM</t>
  </si>
  <si>
    <t>AGE 5_E05</t>
  </si>
  <si>
    <t>AGE 4_E04</t>
  </si>
  <si>
    <t>AGE 3_E03</t>
  </si>
  <si>
    <t>AGE 2_E02</t>
  </si>
  <si>
    <t>FORTUNIAN_EFT</t>
  </si>
  <si>
    <t>MERIONETH_EM</t>
  </si>
  <si>
    <t>ST DAVID'S_ED</t>
  </si>
  <si>
    <t>COMLEY_EC</t>
  </si>
  <si>
    <t>UNDIFFERENTIATED_UNCODED_3</t>
  </si>
  <si>
    <t>DOMINANT LITHOLOGY</t>
  </si>
  <si>
    <t>PL</t>
  </si>
  <si>
    <t>DOMINANT LITHOLOGY_CODE</t>
  </si>
  <si>
    <t>SUBORDINATE_LITHOLOGY</t>
  </si>
  <si>
    <t>SUBORDINATE LITHOLOGY_CODE</t>
  </si>
  <si>
    <t>Chalk</t>
  </si>
  <si>
    <t>TULA</t>
  </si>
  <si>
    <t>LAVA</t>
  </si>
  <si>
    <t>VLSS</t>
  </si>
  <si>
    <t>SLTE</t>
  </si>
  <si>
    <t>GNRMSI</t>
  </si>
  <si>
    <t>GNSS</t>
  </si>
  <si>
    <t>MFIR</t>
  </si>
  <si>
    <t>SCH</t>
  </si>
  <si>
    <t>COAL</t>
  </si>
  <si>
    <t>FLNT</t>
  </si>
  <si>
    <t>CHRT</t>
  </si>
  <si>
    <t>SLST</t>
  </si>
  <si>
    <t>SAMDST</t>
  </si>
  <si>
    <t>SLMDST</t>
  </si>
  <si>
    <t>MDST</t>
  </si>
  <si>
    <t>MDSLST</t>
  </si>
  <si>
    <t>SASLST</t>
  </si>
  <si>
    <t>SDST</t>
  </si>
  <si>
    <t>SLSST</t>
  </si>
  <si>
    <t>MDSST</t>
  </si>
  <si>
    <t>CHLK</t>
  </si>
  <si>
    <t>LMST</t>
  </si>
  <si>
    <t>SALMST</t>
  </si>
  <si>
    <t>SLLMST</t>
  </si>
  <si>
    <t>CLLMST</t>
  </si>
  <si>
    <t>DOLMST</t>
  </si>
  <si>
    <t>Regional_Composite_Column_ID</t>
  </si>
  <si>
    <t>Group</t>
  </si>
  <si>
    <t>Group_Code</t>
  </si>
  <si>
    <t>Formation</t>
  </si>
  <si>
    <t>Formation_Code</t>
  </si>
  <si>
    <t>Member</t>
  </si>
  <si>
    <t>Member_Code</t>
  </si>
  <si>
    <t>Bed</t>
  </si>
  <si>
    <t>Bed_Code</t>
  </si>
  <si>
    <t>Palaeoenvironment</t>
  </si>
  <si>
    <t>References</t>
  </si>
  <si>
    <t>Dominant_Lithology_Code</t>
  </si>
  <si>
    <t>Dominant_Lithology</t>
  </si>
  <si>
    <t>Subordinate_Lithology</t>
  </si>
  <si>
    <t>Subordinate_Lithology_Code</t>
  </si>
  <si>
    <t>Other_Dominant_Lithology_Code</t>
  </si>
  <si>
    <t>Other_Subordinate_Lithology_Code</t>
  </si>
  <si>
    <t>Thickness_Range_(m)</t>
  </si>
  <si>
    <t>Basal_Contact</t>
  </si>
  <si>
    <t>BASAL_CONTACT</t>
  </si>
  <si>
    <t>Normal</t>
  </si>
  <si>
    <t>Faulted</t>
  </si>
  <si>
    <t>Unconformable</t>
  </si>
  <si>
    <t>Limestone_LMST</t>
  </si>
  <si>
    <t>Dolomitic limestone_DOLMST</t>
  </si>
  <si>
    <t>Sandy limestone_SALMST</t>
  </si>
  <si>
    <t>Silty limestone_SLLMST</t>
  </si>
  <si>
    <t>Clayey limestone_CLLMST</t>
  </si>
  <si>
    <t>Chalk_CHLK</t>
  </si>
  <si>
    <t>Sandstone_SDST</t>
  </si>
  <si>
    <t>Silty sandstone_SLSST</t>
  </si>
  <si>
    <t>Muddy sandstone_MDSST</t>
  </si>
  <si>
    <t>Siltstone_SLST</t>
  </si>
  <si>
    <t>Sandy siltstone_SASLST</t>
  </si>
  <si>
    <t>Muddy siltstone_MDSLST</t>
  </si>
  <si>
    <t>Mudstone_MDST</t>
  </si>
  <si>
    <t>Sandy mudstone_SAMDST</t>
  </si>
  <si>
    <t>Silty mudstone_SLMDST</t>
  </si>
  <si>
    <t>Lava and Tuff_TULA</t>
  </si>
  <si>
    <t>Schist_SCH</t>
  </si>
  <si>
    <t>Gneiss_GNSS</t>
  </si>
  <si>
    <t>Volcaniclastic_VLSS</t>
  </si>
  <si>
    <t>Lava_LAVA</t>
  </si>
  <si>
    <t>Slate_SLTE</t>
  </si>
  <si>
    <t>Granitic rock_GNRMSI</t>
  </si>
  <si>
    <t>Igneous-rock mafic_MFIR</t>
  </si>
  <si>
    <t>Coal_COAL</t>
  </si>
  <si>
    <t>Flint_FLNT</t>
  </si>
  <si>
    <t>Chert_CHRT</t>
  </si>
  <si>
    <t>Solent</t>
  </si>
  <si>
    <t>SOLT</t>
  </si>
  <si>
    <t>Bouldnor</t>
  </si>
  <si>
    <t>BOUL</t>
  </si>
  <si>
    <t>Interbedded silty clays, calcareous clays and limestone</t>
  </si>
  <si>
    <t>interbedded clay and silt with organic beds</t>
  </si>
  <si>
    <t>Cranmore</t>
  </si>
  <si>
    <t>Shelly</t>
  </si>
  <si>
    <t>Hamstead</t>
  </si>
  <si>
    <t>Additional_Lithology_Description_(Free_Text)</t>
  </si>
  <si>
    <t>Bembridge Marls</t>
  </si>
  <si>
    <t>Headon Hill</t>
  </si>
  <si>
    <t>Osborne</t>
  </si>
  <si>
    <t>Fishbourne</t>
  </si>
  <si>
    <t>Lacy's Farm Limestone</t>
  </si>
  <si>
    <t>Bembridge Limestone</t>
  </si>
  <si>
    <t>Cliff End</t>
  </si>
  <si>
    <t>Colwell Bay</t>
  </si>
  <si>
    <t>Very shelly</t>
  </si>
  <si>
    <t>Totland Bay</t>
  </si>
  <si>
    <t>Becton Sand</t>
  </si>
  <si>
    <t>Chama Sand</t>
  </si>
  <si>
    <t>Barton Clay</t>
  </si>
  <si>
    <t>Barton</t>
  </si>
  <si>
    <t>Sand; sandy clay</t>
  </si>
  <si>
    <t>BA</t>
  </si>
  <si>
    <t>BEL</t>
  </si>
  <si>
    <t>HEHI</t>
  </si>
  <si>
    <t>CRMA</t>
  </si>
  <si>
    <t>HM</t>
  </si>
  <si>
    <t>BMBG</t>
  </si>
  <si>
    <t>OSB</t>
  </si>
  <si>
    <t>FISH</t>
  </si>
  <si>
    <t>LAFM</t>
  </si>
  <si>
    <t>CLEN</t>
  </si>
  <si>
    <t>COLW</t>
  </si>
  <si>
    <t>TOTB</t>
  </si>
  <si>
    <t>Seagrove Bay</t>
  </si>
  <si>
    <t>SEAB</t>
  </si>
  <si>
    <t>Oganic-rich beds; fine-grained sand unit near top</t>
  </si>
  <si>
    <t>includes sands; shelly</t>
  </si>
  <si>
    <t>shelly</t>
  </si>
  <si>
    <t>Interbedded silty clay, clayey sand, rare thin limestone; lignite; shelly</t>
  </si>
  <si>
    <t>Thin siltstone &amp; sandstone beds; lignitic locally</t>
  </si>
  <si>
    <t>Interbedded succession; shelly</t>
  </si>
  <si>
    <t>Cross-bedded</t>
  </si>
  <si>
    <t>Intensely bioturbated</t>
  </si>
  <si>
    <t>Locally sandy and glauconitic; locally Nummulites-rich</t>
  </si>
  <si>
    <t>BECS</t>
  </si>
  <si>
    <t>CHMS</t>
  </si>
  <si>
    <t>BAC</t>
  </si>
  <si>
    <t>Selsey Sand</t>
  </si>
  <si>
    <t>Marsh Farm</t>
  </si>
  <si>
    <t>Earnley Sand</t>
  </si>
  <si>
    <t>Bracklesham</t>
  </si>
  <si>
    <t>Wittering</t>
  </si>
  <si>
    <t>Thames</t>
  </si>
  <si>
    <t>London Clay</t>
  </si>
  <si>
    <t>Lambeth</t>
  </si>
  <si>
    <t>Reading</t>
  </si>
  <si>
    <t>BRB</t>
  </si>
  <si>
    <t>SLSY</t>
  </si>
  <si>
    <t>MARF</t>
  </si>
  <si>
    <t>EA</t>
  </si>
  <si>
    <t>WTT</t>
  </si>
  <si>
    <t>THAM</t>
  </si>
  <si>
    <t>LMBE</t>
  </si>
  <si>
    <t>LC</t>
  </si>
  <si>
    <t>RB</t>
  </si>
  <si>
    <t>Interbedded; includes sandy clays; locally glauconitic &amp; lignitic; locally abundant Nummulites</t>
  </si>
  <si>
    <t>interbedded; includes silty clay; glauconitic; locally shelly; locally abundant Nummulites</t>
  </si>
  <si>
    <t>Includes clay &amp; thin lignite beds</t>
  </si>
  <si>
    <t>Very shelly; glauconitic; locally abundant Nummulites</t>
  </si>
  <si>
    <t>Glauconitic; lignitic; includes cross-bedded sands</t>
  </si>
  <si>
    <t>cyclic sedimentation with flint pebble beds</t>
  </si>
  <si>
    <t>Portsmouth Sand Member And Whitecliff Sand Member (Undifferentiated</t>
  </si>
  <si>
    <t>POWH</t>
  </si>
  <si>
    <t>Includes mudstone &amp; flint pebble bed</t>
  </si>
  <si>
    <t>Portsdown Chalk</t>
  </si>
  <si>
    <t>Culver Chalk</t>
  </si>
  <si>
    <t>Newhaven Chalk</t>
  </si>
  <si>
    <t>Seaford Chalk</t>
  </si>
  <si>
    <t>Lewes Nodular Chalk</t>
  </si>
  <si>
    <t>New Pit Chalk</t>
  </si>
  <si>
    <t>Holywell Nodular Chalk</t>
  </si>
  <si>
    <t>Zig Zag Chalk</t>
  </si>
  <si>
    <t>West Melbury Marly Chalk</t>
  </si>
  <si>
    <t>PCK</t>
  </si>
  <si>
    <t>NCK</t>
  </si>
  <si>
    <t>CUCK</t>
  </si>
  <si>
    <t>SECK</t>
  </si>
  <si>
    <t>LECH</t>
  </si>
  <si>
    <t>NPCH</t>
  </si>
  <si>
    <t>HCK</t>
  </si>
  <si>
    <t>ZZCH</t>
  </si>
  <si>
    <t>WMCH</t>
  </si>
  <si>
    <t>Includes thin marl seams</t>
  </si>
  <si>
    <t>Includes numerous thin marl seams</t>
  </si>
  <si>
    <t>Thin marls in basal part only</t>
  </si>
  <si>
    <t>Includes thin marls, hardgrounds and nodular chalk units</t>
  </si>
  <si>
    <t>Calcareous mudstone_CAMDST</t>
  </si>
  <si>
    <t>CAMDST</t>
  </si>
  <si>
    <t>Common thin marls; rare flint</t>
  </si>
  <si>
    <t>Common thin marls and beds of nodular chalk; abundantly shelly</t>
  </si>
  <si>
    <t>Melbourn Rock</t>
  </si>
  <si>
    <t>Plenus Marls</t>
  </si>
  <si>
    <t>MR</t>
  </si>
  <si>
    <t>PLMA</t>
  </si>
  <si>
    <t>Cyclic sedimentation of units with varying mud content</t>
  </si>
  <si>
    <t>Marly and silty chalk units</t>
  </si>
  <si>
    <t>Strongly cyclic sedimentation; locally silty, glauconitic, with hard, thin, sponge-rich limestones</t>
  </si>
  <si>
    <t>Glauconitic Marl</t>
  </si>
  <si>
    <t>GLML</t>
  </si>
  <si>
    <t>Rich in glauconite</t>
  </si>
  <si>
    <t>SELB</t>
  </si>
  <si>
    <t>Selborne Group</t>
  </si>
  <si>
    <t>Variably glauconitic; locally includes horizons of phosphatic nodules, chert</t>
  </si>
  <si>
    <t>Shallow marine shelf</t>
  </si>
  <si>
    <t>Upper Greensand</t>
  </si>
  <si>
    <t>UGS</t>
  </si>
  <si>
    <t>Diachronous</t>
  </si>
  <si>
    <t>Glauconitic; locally common chert nodules</t>
  </si>
  <si>
    <t>Gault</t>
  </si>
  <si>
    <t>GLT</t>
  </si>
  <si>
    <t>Micaceous; local horizons of phosphatic nodules; shelly</t>
  </si>
  <si>
    <t>Lower Greensand</t>
  </si>
  <si>
    <t>LGS</t>
  </si>
  <si>
    <t>Monk's Bay Sandstone</t>
  </si>
  <si>
    <t>MBSA</t>
  </si>
  <si>
    <t>Pebby; strongly ferruginous</t>
  </si>
  <si>
    <t>Sandrock</t>
  </si>
  <si>
    <t>SIOW</t>
  </si>
  <si>
    <t>Local pebble beds; cross-bedded; glauconitic</t>
  </si>
  <si>
    <t>Ferruginous Sands</t>
  </si>
  <si>
    <t>FRS</t>
  </si>
  <si>
    <t>Glauconitic; ferruginous; firm-grounds; fossiliferous</t>
  </si>
  <si>
    <t>Atherfield Clay</t>
  </si>
  <si>
    <t>Interbedded locally; includes calcareous concretions, phosphatic nodules, bone fragments; fossil-rich</t>
  </si>
  <si>
    <t>Wealden</t>
  </si>
  <si>
    <t>W</t>
  </si>
  <si>
    <t>Vectis</t>
  </si>
  <si>
    <t>VTIS</t>
  </si>
  <si>
    <t>Wessex</t>
  </si>
  <si>
    <t>WSEX</t>
  </si>
  <si>
    <t>Plant-rich units</t>
  </si>
  <si>
    <t>Purbeck</t>
  </si>
  <si>
    <t>PB</t>
  </si>
  <si>
    <t>Very shelly; lignitic</t>
  </si>
  <si>
    <t>Portland</t>
  </si>
  <si>
    <t>Ooidal; silty; glauconitic</t>
  </si>
  <si>
    <t>Kimmeridge Clay</t>
  </si>
  <si>
    <t>Pyritic; abundant fossils</t>
  </si>
  <si>
    <t>Corallian</t>
  </si>
  <si>
    <t>Micaceous</t>
  </si>
  <si>
    <t>Oxford Clay</t>
  </si>
  <si>
    <t>OXC</t>
  </si>
  <si>
    <t>Calcareous; bituminous</t>
  </si>
  <si>
    <t>Kellaways</t>
  </si>
  <si>
    <t>KLB</t>
  </si>
  <si>
    <t>Pyritic</t>
  </si>
  <si>
    <t>Great Oolite</t>
  </si>
  <si>
    <t>GOG</t>
  </si>
  <si>
    <t>Ooidal; shelly</t>
  </si>
  <si>
    <t>Cornbrash</t>
  </si>
  <si>
    <t>Inferior Oolite</t>
  </si>
  <si>
    <t>INO</t>
  </si>
  <si>
    <t>Lias</t>
  </si>
  <si>
    <t>LI</t>
  </si>
  <si>
    <t>Limestone in middle of group</t>
  </si>
  <si>
    <t>Penarth</t>
  </si>
  <si>
    <t>PNG</t>
  </si>
  <si>
    <t>Mercia Mudstone</t>
  </si>
  <si>
    <t>MMG</t>
  </si>
  <si>
    <t>Minor limestone; dolomitic; anhydrite beds</t>
  </si>
  <si>
    <t>Lacustrine to shallow marine</t>
  </si>
  <si>
    <t>Blue Anchor</t>
  </si>
  <si>
    <t>BAN</t>
  </si>
  <si>
    <t>Sherwood Sandstone</t>
  </si>
  <si>
    <t>SSG</t>
  </si>
  <si>
    <t>Conglomeratic at base</t>
  </si>
  <si>
    <t>Not seen</t>
  </si>
  <si>
    <t>Alluvial, subaerial</t>
  </si>
  <si>
    <t>Inner marine shelf and near coastal</t>
  </si>
  <si>
    <t>Outer marine shelf</t>
  </si>
  <si>
    <t>Channel-fill sand in outer marine shelf</t>
  </si>
  <si>
    <t>Very deep marine shelf</t>
  </si>
  <si>
    <t>Near-shore shallow marine to marginal marine</t>
  </si>
  <si>
    <t>Inner marine shelf</t>
  </si>
  <si>
    <t>Marginal marine; near-shore shallow marine; shallow marine shelf</t>
  </si>
  <si>
    <t>Inner to mid marine shelf</t>
  </si>
  <si>
    <t>Inner marine shelf &amp; coastal</t>
  </si>
  <si>
    <t>Inner to mid marine shelf &amp; coastal</t>
  </si>
  <si>
    <t>Predominantly non-marine, freshwater to brackish water, fluvial/terrestrial; locally fully marine</t>
  </si>
  <si>
    <t>Freshwater</t>
  </si>
  <si>
    <t>Open marine</t>
  </si>
  <si>
    <t>Freshwater/brackish with pedogenized clays</t>
  </si>
  <si>
    <t>Shallow freshwater &amp; subaerial</t>
  </si>
  <si>
    <t>Fluvial</t>
  </si>
  <si>
    <t>Freshwater lacustrine</t>
  </si>
  <si>
    <t>Mainly freshwater (lacustrine/fluvial), locally open marine</t>
  </si>
  <si>
    <t>Brackish/freshwater with pedogenized clays</t>
  </si>
  <si>
    <t>Brackish &amp; shallow marine</t>
  </si>
  <si>
    <t>Marginal marine to non-marine</t>
  </si>
  <si>
    <t>Mid to outer marine shelf</t>
  </si>
  <si>
    <t>Inner, mid and outer marine shelf</t>
  </si>
  <si>
    <t>Shallow, high energy marine shelf</t>
  </si>
  <si>
    <t>Shallow marine &amp; estuarine</t>
  </si>
  <si>
    <t>Fluvial, lacustrine, lagoonal, brackish, shallow marine</t>
  </si>
  <si>
    <t>Fluvial, lacustrine, lagoonal</t>
  </si>
  <si>
    <t>Fluvial, lacustrine, lagoonal with some brackish and marine units</t>
  </si>
  <si>
    <t xml:space="preserve">Subaerial, lacustrine, lagoonal, shallow marine </t>
  </si>
  <si>
    <t>Very shallow marine</t>
  </si>
  <si>
    <t>Alluvial plain &amp; playa lake</t>
  </si>
  <si>
    <t>PM1</t>
  </si>
  <si>
    <t>DEV</t>
  </si>
  <si>
    <t>Quartzite</t>
  </si>
  <si>
    <t>QZITE</t>
  </si>
  <si>
    <t>Metamorphosed, ferruginous, pyritic, calcite micro-veining</t>
  </si>
  <si>
    <t>Devonian rocks (undifferentiated)</t>
  </si>
  <si>
    <t>Portsmouth Sand Member And Whitecliff Sand Member (Undifferentiated)</t>
  </si>
  <si>
    <t>PM2</t>
  </si>
  <si>
    <t>Quartzitic, metamorphosed, ferruginous, pyritic, calcite micro-veining</t>
  </si>
  <si>
    <t>PM3</t>
  </si>
  <si>
    <t>Oganic-rich beds; thin shell beds</t>
  </si>
  <si>
    <t>interbedded limestone, silty clay, calcareous silty clay</t>
  </si>
  <si>
    <t>Hatherwood Limestone</t>
  </si>
  <si>
    <t>HATH</t>
  </si>
  <si>
    <t>Shelly; diverse mammalian fauna</t>
  </si>
  <si>
    <t>Linstone Chine</t>
  </si>
  <si>
    <t>LINS</t>
  </si>
  <si>
    <t>Laminated</t>
  </si>
  <si>
    <t>Marginal-marine channel fill</t>
  </si>
  <si>
    <t>Interbedded succession; shelly limestone</t>
  </si>
  <si>
    <t>Bioturbated</t>
  </si>
  <si>
    <t>Lignitic; glauconitic; laminated; locally abundant Nummulites</t>
  </si>
  <si>
    <t>Boscombe Sand</t>
  </si>
  <si>
    <t>BOSS</t>
  </si>
  <si>
    <t>Pebble bed at top</t>
  </si>
  <si>
    <t>Marginal marine</t>
  </si>
  <si>
    <t>Erosional</t>
  </si>
  <si>
    <t>Branksome Sand</t>
  </si>
  <si>
    <t>BRKS</t>
  </si>
  <si>
    <t>Includes lignite &amp; rootlet beds</t>
  </si>
  <si>
    <t>Fluvial to marginal marine</t>
  </si>
  <si>
    <t>Poole Formation</t>
  </si>
  <si>
    <t>POOL</t>
  </si>
  <si>
    <t>Estuarine &amp; marginal marine</t>
  </si>
  <si>
    <t>Ripple and cross-bedded, with pebble lenses in upper part. Inter-digitates with Wittering Formation. Internal erosion surfaces define stacked sequences</t>
  </si>
  <si>
    <t>Channel-form sand units in lower part. Lignite and paleosol near top. Inter-digitates with Poole Formation</t>
  </si>
  <si>
    <t>Cyclic sedimentation with flint pebble beds. Glauconitic. Calcareous concretions</t>
  </si>
  <si>
    <t>Harwich</t>
  </si>
  <si>
    <t>HWH</t>
  </si>
  <si>
    <t>Basal pebble bed includes flint. Glauconitic.</t>
  </si>
  <si>
    <t>Mid to inner marine shelf</t>
  </si>
  <si>
    <t>PM4</t>
  </si>
  <si>
    <t>Durlston</t>
  </si>
  <si>
    <t>Lulworth</t>
  </si>
  <si>
    <t>DURN</t>
  </si>
  <si>
    <t>LULW</t>
  </si>
  <si>
    <t>shelly; bituminous; anhydrite</t>
  </si>
  <si>
    <t>Portland Sand</t>
  </si>
  <si>
    <t>Portland Stone</t>
  </si>
  <si>
    <t>POSA</t>
  </si>
  <si>
    <t>POST</t>
  </si>
  <si>
    <t>ca. 30</t>
  </si>
  <si>
    <t>ca. 80</t>
  </si>
  <si>
    <t>Shelly; oolitic; weakly glauconitic</t>
  </si>
  <si>
    <t>shelly, spiculitic</t>
  </si>
  <si>
    <t>at least 388.3 (Isle of Wight)</t>
  </si>
  <si>
    <t>ca. 30 (South Dorset)</t>
  </si>
  <si>
    <t>ca. 80 (South Dorset)</t>
  </si>
  <si>
    <t>up to 72 (South Dorset)</t>
  </si>
  <si>
    <t>up to 60 (South Dorset)</t>
  </si>
  <si>
    <t>up to 545 (Isle of Wight)</t>
  </si>
  <si>
    <t>up to 73 (Isle of Wight)</t>
  </si>
  <si>
    <t>up to 700 (South Dorset); 619.4 (Isle of Wight)</t>
  </si>
  <si>
    <t>0 to 140 (Isle of Wight)</t>
  </si>
  <si>
    <t>3 to 22 (Isle of Wight)</t>
  </si>
  <si>
    <t>ca. 4  (Isle of Wight)</t>
  </si>
  <si>
    <t>15 to 19 (Isle of Wight)</t>
  </si>
  <si>
    <t>35 to 57 (Isle of Wight)</t>
  </si>
  <si>
    <t>ca. 75 (Isle of Wight)</t>
  </si>
  <si>
    <t>21 to 37 (Isle of Wight)</t>
  </si>
  <si>
    <t>PM5</t>
  </si>
  <si>
    <t>PM6</t>
  </si>
  <si>
    <t>PM7</t>
  </si>
  <si>
    <t>cross-bedded; pebbly horizons</t>
  </si>
  <si>
    <t>Limestone in middle of group; pyritic</t>
  </si>
  <si>
    <t>Highly cemented</t>
  </si>
  <si>
    <t>basal pebble bed includes flint; glauconitic</t>
  </si>
  <si>
    <t>Omission surface</t>
  </si>
  <si>
    <t>cross-bedded; pebble horizons</t>
  </si>
  <si>
    <t>?Non-sequence</t>
  </si>
  <si>
    <t>?Non-Sequence</t>
  </si>
  <si>
    <t>Non-sequence</t>
  </si>
  <si>
    <t>Aylesbeare Mudstone</t>
  </si>
  <si>
    <t>AYB</t>
  </si>
  <si>
    <t>Minor sandstones; anhydrite; dolomite; conglomerate</t>
  </si>
  <si>
    <t>Floodplain alluvial complex</t>
  </si>
  <si>
    <t>?Non sequence</t>
  </si>
  <si>
    <t>Non sequence</t>
  </si>
  <si>
    <t>Includes conglomerates</t>
  </si>
  <si>
    <t>ca. 100 - 300 m</t>
  </si>
  <si>
    <t>ca. 40 - 70</t>
  </si>
  <si>
    <t>0 - 220</t>
  </si>
  <si>
    <t>0 - 150</t>
  </si>
  <si>
    <t>0 to at least 300</t>
  </si>
  <si>
    <t>0 - 200</t>
  </si>
  <si>
    <t>No data</t>
  </si>
  <si>
    <t>up to 20</t>
  </si>
  <si>
    <t>ca. 250</t>
  </si>
  <si>
    <t>Siltstone; sandstone; bituminous; pyritic; ferruginous</t>
  </si>
  <si>
    <t>Organic-rich; pyritic</t>
  </si>
  <si>
    <t>ca. 45</t>
  </si>
  <si>
    <t>ca. 275</t>
  </si>
  <si>
    <t>ca. 1</t>
  </si>
  <si>
    <t>ca. 15</t>
  </si>
  <si>
    <t>ca. 140</t>
  </si>
  <si>
    <t>at least 50</t>
  </si>
  <si>
    <t>No data; locally absent</t>
  </si>
  <si>
    <t>Probably less than 150</t>
  </si>
  <si>
    <t>Probably less than 30; locally absent</t>
  </si>
  <si>
    <t>Probably less than 60; locally absent</t>
  </si>
  <si>
    <t>ca. 300</t>
  </si>
  <si>
    <t>ca. 20</t>
  </si>
  <si>
    <t>ca. 200</t>
  </si>
  <si>
    <t>&lt;10</t>
  </si>
  <si>
    <t>ca. 60</t>
  </si>
  <si>
    <t>ca. 25</t>
  </si>
  <si>
    <t>ca. 55</t>
  </si>
  <si>
    <t>ca. 200 - 500</t>
  </si>
  <si>
    <t>ca. 100</t>
  </si>
  <si>
    <t>at least 24 proved</t>
  </si>
  <si>
    <t>Locally absent; probably less than 200 where present</t>
  </si>
  <si>
    <t>Perhaps 40 to 50</t>
  </si>
  <si>
    <t>probably ca. 200 - 300 m</t>
  </si>
  <si>
    <t>ca. 60 - 150?</t>
  </si>
  <si>
    <t>? 30</t>
  </si>
  <si>
    <t>up to 245 (Isle of Wight); +500 (South Dorset);  365 (offshore record)</t>
  </si>
  <si>
    <t>ca. 150 (offshore record) - 291.4 (Isle of Wight)</t>
  </si>
  <si>
    <t>ca. 1500 (offshore record)</t>
  </si>
  <si>
    <t>15 - 25 (Isle of Wight); 25 (offshore record)</t>
  </si>
  <si>
    <t>41 - 383 (Isle of Wight); 550  (offshore record)</t>
  </si>
  <si>
    <t>10 - 70 (Isle of Wight); 15 (offshore record)</t>
  </si>
  <si>
    <t>up to 145.4 (Isle of Wight); ca. 250 (offshore record)</t>
  </si>
  <si>
    <t>up to 13 (Isle of Wight); ca. 7.5 (offshore record)</t>
  </si>
  <si>
    <t>up to 30.2 (Isle of Wight); ca. 15 (offshore record)</t>
  </si>
  <si>
    <t>24 - 69 (Isle of Wight); ?less than 5 (offshore record)</t>
  </si>
  <si>
    <t>up to 137.2 (Isle of Wight); ca. 38? (offshore record)</t>
  </si>
  <si>
    <t>up to 337.4 (Isle of Wight); ca. 350 (offshore record)</t>
  </si>
  <si>
    <t>up to 110 (South Dorset); ca. 75 (offshore record)</t>
  </si>
  <si>
    <t>up to 113.7 (Isle of Wight); ca. 200 (offshore record)</t>
  </si>
  <si>
    <t>0 to 53 (Isle of Wight); ca. 15 (South Dorset)</t>
  </si>
  <si>
    <t>0 to 70 (Isle of Wight); &lt;10 (South Dorset)</t>
  </si>
  <si>
    <t>up to 285 (Isle of Wight); as little as 0.5 in South Dorset</t>
  </si>
  <si>
    <t>up to 80 (Isle of Wight); as little as 9 in South Dorset</t>
  </si>
  <si>
    <t>up to 46 (Isle of Wight); up to 65 (South-East Devon)</t>
  </si>
  <si>
    <t>&gt;100 (South Dorset); up to 80 (Isle of Wight)</t>
  </si>
  <si>
    <r>
      <rPr>
        <sz val="11"/>
        <color theme="1"/>
        <rFont val="Calibri"/>
        <family val="2"/>
      </rPr>
      <t>•</t>
    </r>
    <r>
      <rPr>
        <sz val="11"/>
        <color theme="1"/>
        <rFont val="Calibri"/>
        <family val="2"/>
        <scheme val="minor"/>
      </rPr>
      <t xml:space="preserve"> British Geological Survey. 2013. Isle of Wight. England and Wales Special Sheet incorporating parts of sheets 330, 331, 344 and 345. Bedrock and Superficial Deposits. 1:50 000. (Keywoth, Nottingham: British Geological Survey) </t>
    </r>
    <r>
      <rPr>
        <sz val="11"/>
        <color theme="1"/>
        <rFont val="Calibri"/>
        <family val="2"/>
      </rPr>
      <t xml:space="preserve">• </t>
    </r>
    <r>
      <rPr>
        <sz val="11"/>
        <color theme="1"/>
        <rFont val="Calibri"/>
        <family val="2"/>
        <scheme val="minor"/>
      </rPr>
      <t xml:space="preserve">Hopson, P M, Farrant, A R. 2015. Geology of the Isle of Wight - a brief explanation of the Isle of Wight Geological Sheet. Parts of sheets 330, 331, 344 and 345 Isle of Wight (England &amp; Wales). British Geological Survey: Keyworth, Nottingham </t>
    </r>
    <r>
      <rPr>
        <sz val="11"/>
        <color theme="1"/>
        <rFont val="Calibri"/>
        <family val="2"/>
      </rPr>
      <t>•</t>
    </r>
    <r>
      <rPr>
        <sz val="11"/>
        <color theme="1"/>
        <rFont val="Calibri"/>
        <family val="2"/>
        <scheme val="minor"/>
      </rPr>
      <t xml:space="preserve"> Brenchley, P J, Rawson, P F (eds). 2006. The Geology of England &amp; Wales (2nd Edition). The Geological Society: London.</t>
    </r>
  </si>
  <si>
    <t>at least 93.3 proved</t>
  </si>
  <si>
    <t>ca. 105 proved</t>
  </si>
  <si>
    <t xml:space="preserve">21 to 37 </t>
  </si>
  <si>
    <t>ca. 204 proved</t>
  </si>
  <si>
    <t>ca. 27 proved</t>
  </si>
  <si>
    <t>ca. 150 proved</t>
  </si>
  <si>
    <t>ca. 24 proved</t>
  </si>
  <si>
    <t xml:space="preserve">up to 13 </t>
  </si>
  <si>
    <t>ca. 170 proved</t>
  </si>
  <si>
    <t>ca. 20 proved</t>
  </si>
  <si>
    <t>146 proved</t>
  </si>
  <si>
    <t>ca. 33 proved</t>
  </si>
  <si>
    <t>67 proved</t>
  </si>
  <si>
    <t>ca. 16 proved</t>
  </si>
  <si>
    <t>31 proved</t>
  </si>
  <si>
    <t>ca. 55 proved</t>
  </si>
  <si>
    <t>21 proved</t>
  </si>
  <si>
    <t>27.4 proved</t>
  </si>
  <si>
    <t>33.5 proved</t>
  </si>
  <si>
    <t>ca. 61 proved</t>
  </si>
  <si>
    <t>ca. 440 proved</t>
  </si>
  <si>
    <t>55.5 proved</t>
  </si>
  <si>
    <t>74.4 proved</t>
  </si>
  <si>
    <t>at least 147 proved</t>
  </si>
  <si>
    <t>up to 389 (incomplete thickness proved on IOW but not in PM2)</t>
  </si>
  <si>
    <t>ca. 14 - 33.5 proved in PM2</t>
  </si>
  <si>
    <t>21 to 37 (regional IOW thickness; not proved in PM2)</t>
  </si>
  <si>
    <t>157 - 205 proved in PM2</t>
  </si>
  <si>
    <t>ca. 8 - 15 proved in PM2</t>
  </si>
  <si>
    <t>ca. 41 - 51 proved in PM2</t>
  </si>
  <si>
    <t>ca. 10 proved in PM2</t>
  </si>
  <si>
    <t>up to 13 (regional IOW thickness; not proved in PM2)</t>
  </si>
  <si>
    <t>117 - 119 proved in PM2</t>
  </si>
  <si>
    <t>ca. 13 - 16 proved in PM2</t>
  </si>
  <si>
    <t>ca. 8 - 41 proved in PM2</t>
  </si>
  <si>
    <t>Possibly absent</t>
  </si>
  <si>
    <t>0 to 53 (regional IOW thickness; not proved in PM2)</t>
  </si>
  <si>
    <t>0 to 140 (regional IOW thickness; not proved in PM2)</t>
  </si>
  <si>
    <t>0 to 70 (regional IOW thickness; not proved in PM2)</t>
  </si>
  <si>
    <t>3 to 22 (regional IOW thickness; not proved in PM2)</t>
  </si>
  <si>
    <t>3 - 8 proved in PM2</t>
  </si>
  <si>
    <t>27 - 47 proved in PM2</t>
  </si>
  <si>
    <t>21 - 29.6 proved in PM2</t>
  </si>
  <si>
    <t>up to ca. 80 proved in PM2</t>
  </si>
  <si>
    <t>15 to 19 (regional IOW thickness; not proved in PM2)</t>
  </si>
  <si>
    <t>35 to 57 (regional IOW thickness; not proved in PM2)</t>
  </si>
  <si>
    <t>25 to 32 (regional IOW thickness; not proved in PM2)</t>
  </si>
  <si>
    <t>14 to 27 (regional IOW thickness; not proved in PM2)</t>
  </si>
  <si>
    <t>40 to 45 (regional IOW thickness; not proved in PM2)</t>
  </si>
  <si>
    <t>73 to 95 (regional IOW thickness; not proved in PM2)</t>
  </si>
  <si>
    <t>58 to 67 (regional IOW thickness; not proved in PM2)</t>
  </si>
  <si>
    <t>77 to 83 (regional IOW thickness; not proved in PM2)</t>
  </si>
  <si>
    <t>up to 110 (regional IOW thickness; not proved in PM2)</t>
  </si>
  <si>
    <t>35 to 40 (regional IOW thickness; not proved in PM2)</t>
  </si>
  <si>
    <t>2.3 (where seen regionally in IOW)</t>
  </si>
  <si>
    <t>ca. 25 (regional IOW thickness; not proved in PM2)</t>
  </si>
  <si>
    <t>up to 150 (regional IOW thickness; not proved in PM2)</t>
  </si>
  <si>
    <t>up to 350 proved in PM2</t>
  </si>
  <si>
    <t>119 to 129 proved in PM2</t>
  </si>
  <si>
    <t>76 to 90 (regional IOW thickness; not proved in PM2)</t>
  </si>
  <si>
    <t>up to 22 (regional IOW thickness; not proved in PM2)</t>
  </si>
  <si>
    <t>up to 18 (regional IOW thickness; not proved in PM2)</t>
  </si>
  <si>
    <t>up to 43 (regional IOW thickness; not proved in PM2)</t>
  </si>
  <si>
    <t>161 to 171 proved in PM2</t>
  </si>
  <si>
    <t>ca. 45 (regional IOW thickness; not proved in PM2)</t>
  </si>
  <si>
    <t>ca. 15 (regional IOW thickness; not proved in PM2)</t>
  </si>
  <si>
    <t>up to 64 (regional IOW thickness; not proved in PM2)</t>
  </si>
  <si>
    <t>178 - 188 proved in PM2</t>
  </si>
  <si>
    <t>up to 8 (regional IOW thickness; not proved in PM2)</t>
  </si>
  <si>
    <t>up to 30 (regional IOW thickness; not proved in PM2)</t>
  </si>
  <si>
    <t>up to 15 (regional IOW thickness; not proved in PM2)</t>
  </si>
  <si>
    <t>up to 6.7 (regional IOW thickness; not proved in PM2)</t>
  </si>
  <si>
    <t>up to 10.7 (regional IOW thickness; not proved in PM2)</t>
  </si>
  <si>
    <t>up to 9.5 (regional IOW thickness; not proved in PM2)</t>
  </si>
  <si>
    <t>53 to 83.6 proved in PM2</t>
  </si>
  <si>
    <t>2.4 - 10.1 proved in PM2</t>
  </si>
  <si>
    <t>up to 34 (regional IOW thickness; not proved in PM2)</t>
  </si>
  <si>
    <t>up to 58 (regional IOW thickness; not proved in PM2)</t>
  </si>
  <si>
    <t>up to 9 (regional IOW thickness; not proved in PM2)</t>
  </si>
  <si>
    <t>46 to 88.4 proved in PM2</t>
  </si>
  <si>
    <t>ca. 172 proved in PM2</t>
  </si>
  <si>
    <t>at least 51  seen in PM1</t>
  </si>
  <si>
    <t>21 to 37 (regional IOW thickness; not proved in PM1)</t>
  </si>
  <si>
    <t>173.4 proved in PM 1</t>
  </si>
  <si>
    <t>18 proved in PM1</t>
  </si>
  <si>
    <t>207 proved in PM1</t>
  </si>
  <si>
    <t>31 proved in PM1</t>
  </si>
  <si>
    <t>up to 13 (regional IOW thickness; not proved in PM1)</t>
  </si>
  <si>
    <t>130 proved in PM1</t>
  </si>
  <si>
    <t>134 proved in PM1</t>
  </si>
  <si>
    <t>30 proved in PM1</t>
  </si>
  <si>
    <t>5 proved in PM1; elsewhere in PM1 probably less than 50</t>
  </si>
  <si>
    <t>0 to 53 (regional IOW thickness; not proved in PM1)</t>
  </si>
  <si>
    <t>0 to 140 (regional IOW thickness; not proved in PM1)</t>
  </si>
  <si>
    <t>0 to 70 (regional IOW thickness; not proved in PM1)</t>
  </si>
  <si>
    <t>3 to 22 (regional IOW thickness; not proved in PM1)</t>
  </si>
  <si>
    <t>5 proved in PM1; elsewhere probably less than 50</t>
  </si>
  <si>
    <t>22 proved in PM1</t>
  </si>
  <si>
    <t>36 proved in PM1</t>
  </si>
  <si>
    <t>58 proved in PM1</t>
  </si>
  <si>
    <t>ca. 4 (regional IOW thickness; not proved in PM1)</t>
  </si>
  <si>
    <t>15 to 19 (regional IOW thickness; not proved in PM1)</t>
  </si>
  <si>
    <t>35 to 57 (regional IOW thickness; not proved in PM1)</t>
  </si>
  <si>
    <t>25 to 32 (regional IOW thickness; not proved in PM1)</t>
  </si>
  <si>
    <t>14 to 27 (regional IOW thickness; not proved in PM1)</t>
  </si>
  <si>
    <t>40 to 45 (regional IOW thickness; not proved in PM1)</t>
  </si>
  <si>
    <t>73 to 95 (regional IOW thickness; not proved in PM1)</t>
  </si>
  <si>
    <t>58 to 67 (regional IOW thickness; not proved in PM1)</t>
  </si>
  <si>
    <t>77 to 83 (regional IOW thickness; not proved in PM1)</t>
  </si>
  <si>
    <t>up to 110 (regional IOW thickness; not proved in PM1)</t>
  </si>
  <si>
    <t>at least 350 proved in PM1</t>
  </si>
  <si>
    <t>35-40 (regional IOW thickness; not proved in PM1)</t>
  </si>
  <si>
    <t>39 proved in PM1</t>
  </si>
  <si>
    <t>2.3 (locally proved in IOW; not proved in PM1)</t>
  </si>
  <si>
    <t>25 (regional IOW thickness; not proved in PM1)</t>
  </si>
  <si>
    <t>up to 150 (regional IOW thickness; not proved in PM1)</t>
  </si>
  <si>
    <t>94.8 proved in PM1</t>
  </si>
  <si>
    <t>76 to 90 (regional IOW thickness; not proved in PM1)</t>
  </si>
  <si>
    <t>up to 22 (regional IOW thickness; not proved in PM1)</t>
  </si>
  <si>
    <t>up to 18 (regional IOW thickness; not proved in PM1)</t>
  </si>
  <si>
    <t>up to 43 (regional IOW thickness; not proved in PM1)</t>
  </si>
  <si>
    <t>202.7 proved in PM 1</t>
  </si>
  <si>
    <t>45 (regional IOW thickness; not proved in PM1)</t>
  </si>
  <si>
    <t>15 (regional IOW thickness; not proved in PM1)</t>
  </si>
  <si>
    <t>up to 64 (regional IOW thickness; not proved in PM1)</t>
  </si>
  <si>
    <t>33.8 proved in PM1</t>
  </si>
  <si>
    <t>up to 8 (regional IOW thickness; not proved in PM1)</t>
  </si>
  <si>
    <t>up to 30 (regional IOW thickness; not proved in PM1)</t>
  </si>
  <si>
    <t>up to 15 (regional IOW thickness; not proved in PM1)</t>
  </si>
  <si>
    <t>up to 6.7 (regional IOW thickness; not proved in PM1)</t>
  </si>
  <si>
    <t>up to 10.7 (regional IOW thickness; not proved in PM1)</t>
  </si>
  <si>
    <t>up to 9.5 (regional IOW thickness; not proved in PM1)</t>
  </si>
  <si>
    <t>up to 90 (regional IOW thickness; not proved in PM1)</t>
  </si>
  <si>
    <t>up to 8.5 (regional IOW thickness; not proved in PM1)</t>
  </si>
  <si>
    <t>up to 34 (regional IOW thickness; not proved in PM1)</t>
  </si>
  <si>
    <t>up to 58 (regional IOW thickness; not proved in PM1)</t>
  </si>
  <si>
    <t>up to 9 (regional IOW thickness; not proved in PM1)</t>
  </si>
  <si>
    <t>up to 100 (regional IOW thickness; not proved in PM1)</t>
  </si>
  <si>
    <t>up to 200 (regional IOW thickness; not proved in PM1)</t>
  </si>
  <si>
    <t>up to 389 (incomplete thickness proved on IOW but not in PM3)</t>
  </si>
  <si>
    <t>53.9 proved in PM3</t>
  </si>
  <si>
    <t>21 to 37 (regional IOW thickness; not proved in PM3)</t>
  </si>
  <si>
    <t>up to 246.4 proved in PM3</t>
  </si>
  <si>
    <t>up to 16.8 proved in PM3</t>
  </si>
  <si>
    <t>ca. 80 to 131 proved in PM3</t>
  </si>
  <si>
    <t>ca. 12 to 35 proved in PM3</t>
  </si>
  <si>
    <t>up to 13 (regional IOW thickness; not proved in PM3)</t>
  </si>
  <si>
    <t>ca. 118 - 146 proved in PM3</t>
  </si>
  <si>
    <t>114 - ca. 119 proved in PM3</t>
  </si>
  <si>
    <t>ca. 13 to 21 proved in PM3</t>
  </si>
  <si>
    <t>24 to 29 proved in PM3</t>
  </si>
  <si>
    <t>23.5 proved in PM3; locally absent in PM3</t>
  </si>
  <si>
    <t>0 to 53 (regional IOW thickness; not proved in PM3)</t>
  </si>
  <si>
    <t>0 to 140 (regional IOW thickness; not proved in PM3)</t>
  </si>
  <si>
    <t>0 to 70 (regional IOW thickness; not proved in PM3)</t>
  </si>
  <si>
    <t>3 to 22 (regional IOW thickness; not proved in PM3)</t>
  </si>
  <si>
    <t>4 to 10 proved in PM3</t>
  </si>
  <si>
    <t>16 to 32 proved in PM3</t>
  </si>
  <si>
    <t>ca. 25 - 46 proved in PM3</t>
  </si>
  <si>
    <t>ca. 80 proved in PM3</t>
  </si>
  <si>
    <t>15 to 19 (regional IOW thickness; not proved in PM3)</t>
  </si>
  <si>
    <t>35 to 57 (regional IOW thickness; not proved in PM3)</t>
  </si>
  <si>
    <t>25 - 32 (regional IOW thickness; not proved in PM3)</t>
  </si>
  <si>
    <t>14 to 27 (regional IOW thickness; not proved in PM3)</t>
  </si>
  <si>
    <t>40 - 45 (regional IOW thickness; not proved in PM3)</t>
  </si>
  <si>
    <t>73 to 95 (regional IOW thickness; not proved in PM3)</t>
  </si>
  <si>
    <t>58 to 67 (regional IOW thickness; not proved in PM3)</t>
  </si>
  <si>
    <t>77 to 83 (regional IOW thickness; not proved in PM3)</t>
  </si>
  <si>
    <t>up to 110 (regional IOW thickness; not proved in PM3)</t>
  </si>
  <si>
    <t>ca. 400 proved in PM3</t>
  </si>
  <si>
    <t>4.3 (where seen regionally in IOW)</t>
  </si>
  <si>
    <t>ca. 25 (regional IOW thickness; not proved in PM3)</t>
  </si>
  <si>
    <t>up to 35 inferred from mapping in PM3</t>
  </si>
  <si>
    <t>70 to 73 inferred from mapping for PM3</t>
  </si>
  <si>
    <t>up to 73 inferred from mapping for PM3</t>
  </si>
  <si>
    <t>ca. 70 inferred from mapping for PM3</t>
  </si>
  <si>
    <t>48 inferred from mapping for PM3</t>
  </si>
  <si>
    <t>35 inferred from mapping for PM3</t>
  </si>
  <si>
    <t>up to 70 inferred from mapping for PM3</t>
  </si>
  <si>
    <t>up to 14 inferred from mapping for PM3</t>
  </si>
  <si>
    <t>up to 221 inferred from mapping for PM3</t>
  </si>
  <si>
    <t>up to 83 inferred from mapping for PM3</t>
  </si>
  <si>
    <t>7 inferred from mapping for PM3</t>
  </si>
  <si>
    <t>33 inferred from mapping for PM3</t>
  </si>
  <si>
    <t>up to 137 inferred from mapping for PM3</t>
  </si>
  <si>
    <t>up to 27 inferred from mapping for PM3</t>
  </si>
  <si>
    <t>up to 9 inferred from mapping for PM3</t>
  </si>
  <si>
    <t>up to 4 inferred from mapping for PM3</t>
  </si>
  <si>
    <t>up to 8 inferred from mapping for PM3</t>
  </si>
  <si>
    <t>up to 6.5 inferred from mapping for PM3</t>
  </si>
  <si>
    <t>up to 3 inferred from mapping for PM3</t>
  </si>
  <si>
    <t>up to 13.5 inferred from mapping for PM3</t>
  </si>
  <si>
    <t>up to 75 inferred from mapping for PM3</t>
  </si>
  <si>
    <t>up to 8.5 inferred from mapping for PM3</t>
  </si>
  <si>
    <t>up to 22  inferred from mapping for PM3</t>
  </si>
  <si>
    <t>up to 69 inferred from mapping for PM3</t>
  </si>
  <si>
    <t>up to 100 inferred from mapping for PM3</t>
  </si>
  <si>
    <t>up to 200 inferred from mapping for PM3</t>
  </si>
  <si>
    <r>
      <rPr>
        <sz val="11"/>
        <color theme="1"/>
        <rFont val="Calibri"/>
        <family val="2"/>
      </rPr>
      <t>•</t>
    </r>
    <r>
      <rPr>
        <sz val="11"/>
        <color theme="1"/>
        <rFont val="Calibri"/>
        <family val="2"/>
        <scheme val="minor"/>
      </rPr>
      <t xml:space="preserve"> British Geological Survey. 2013. Isle of Wight. England and Wales Special Sheet incorporating parts of sheets 330, 331, 344 and 345. Bedrock and Superficial Deposits. 1:50 000. (Keywoth, Nottingham: British Geological Survey) </t>
    </r>
    <r>
      <rPr>
        <sz val="11"/>
        <color theme="1"/>
        <rFont val="Calibri"/>
        <family val="2"/>
      </rPr>
      <t xml:space="preserve">• </t>
    </r>
    <r>
      <rPr>
        <sz val="11"/>
        <color theme="1"/>
        <rFont val="Calibri"/>
        <family val="2"/>
        <scheme val="minor"/>
      </rPr>
      <t xml:space="preserve">Hopson, P M, Farrant, A R. 2015. Geology of the Isle of Wight - a brief explanation of the Isle of Wight Geological Sheet. Parts of sheets 330, 331, 344 and 345 Isle of Wight (England &amp; Wales). British Geological Survey: Keyworth, Nottingham </t>
    </r>
    <r>
      <rPr>
        <sz val="11"/>
        <color theme="1"/>
        <rFont val="Calibri"/>
        <family val="2"/>
      </rPr>
      <t>•</t>
    </r>
    <r>
      <rPr>
        <sz val="11"/>
        <color theme="1"/>
        <rFont val="Calibri"/>
        <family val="2"/>
        <scheme val="minor"/>
      </rPr>
      <t xml:space="preserve"> Brenchley, P J, Rawson, P F (eds). 2006. The Geology of England &amp; Wales (2nd Edition). The Geological Society: London </t>
    </r>
    <r>
      <rPr>
        <sz val="11"/>
        <color theme="1"/>
        <rFont val="Calibri"/>
        <family val="2"/>
      </rPr>
      <t>• Hamblin, R J O, Crosby, A, Balson, P S, Jones, S M, Chadwick, R A, Penn, I E, Arthur, M J. 1992. United Kingdom offshore regional report: the geology of the English Channel. London: HMSO for the British Geological Survey •</t>
    </r>
    <r>
      <rPr>
        <sz val="11"/>
        <color theme="1"/>
        <rFont val="Calibri"/>
        <family val="2"/>
        <scheme val="minor"/>
      </rPr>
      <t xml:space="preserve"> Dingwall, R G, Lott, G K. 1979. IGS boreholes drilled from mv Whitethorn in the English Channel 1973 - 1975. Report of the Institute of Geological Sciences, 79/8 </t>
    </r>
    <r>
      <rPr>
        <sz val="11"/>
        <color theme="1"/>
        <rFont val="Calibri"/>
        <family val="2"/>
      </rPr>
      <t>• Barton, C M, Woods, M A, Bristow, C R, Newell, A J, Westhead, R K, Evans, D J, Kirby, G A, Warrington, G. 2011. Geology of south Dorset and south-east Devon and its World Heritage Coast. Special Memoir of the British Geological Survey •</t>
    </r>
    <r>
      <rPr>
        <sz val="11"/>
        <color theme="1"/>
        <rFont val="Calibri"/>
        <family val="2"/>
        <scheme val="minor"/>
      </rPr>
      <t xml:space="preserve"> Ainsworth, N R, Braham, W, Gregory, F J, Johnson, B, King, C. 1998. The lithostratigraphy of the latest Triassic to earliest Cretaceous of the English Channel and its adjacent areas. In Underhill, J R. (ed) Development, Evolution and Petroleum Geology of the Wessex Basin. Geological Society London, Special Publication No. 133, 103 - 164.</t>
    </r>
  </si>
  <si>
    <r>
      <rPr>
        <sz val="11"/>
        <color theme="1"/>
        <rFont val="Calibri"/>
        <family val="2"/>
      </rPr>
      <t>• Hamblin, R J O, Crosby, A, Balson, P S, Jones, S M, Chadwick, R A, Penn, I E, Arthur, M J. 1992. United Kingdom offshore regional report: the geology of the English Channel. London: HMSO for the British Geological Survey •</t>
    </r>
    <r>
      <rPr>
        <sz val="11"/>
        <color theme="1"/>
        <rFont val="Calibri"/>
        <family val="2"/>
        <scheme val="minor"/>
      </rPr>
      <t xml:space="preserve"> Dingwall, R G, Lott, G K. 1979. IGS boreholes drilled from mv Whitethorn in the English Channel 1973 - 1975. Report of the Institute of Geological Sciences, 79/8 </t>
    </r>
    <r>
      <rPr>
        <sz val="11"/>
        <color theme="1"/>
        <rFont val="Calibri"/>
        <family val="2"/>
      </rPr>
      <t>•</t>
    </r>
    <r>
      <rPr>
        <sz val="11"/>
        <color theme="1"/>
        <rFont val="Calibri"/>
        <family val="2"/>
        <scheme val="minor"/>
      </rPr>
      <t xml:space="preserve"> Ainsworth, N R, Braham, W, Gregory, F J, Johnson, B, King, C. 1998. The lithostratigraphy of the latest Triassic to earliest Cretaceous of the English Channel and its adjacent areas. In Underhill, J R. (ed) Development, Evolution and Petroleum Geology of the Wessex Basin. Geological Society London, Special Publication No. 133, 103 - 164.</t>
    </r>
  </si>
  <si>
    <t>Code</t>
  </si>
  <si>
    <t>Brenchley, P J, Rawson, P F (eds). 2006. The Geology of England &amp; Wales (2nd Edition). The Geological Society: London.</t>
  </si>
  <si>
    <t>British Geological Survey. 2013. Isle of Wight. England and Wales Special Sheet incorporating parts of sheets 330, 331, 344 and 345. Bedrock and Superficial Deposits. 1:50 000. (Keywoth, Nottingham: British Geological Survey)</t>
  </si>
  <si>
    <t>Hopson, P M, Farrant, A R. 2015. Geology of the Isle of Wight - a brief explanation of the Isle of Wight Geological Sheet. Parts of sheets 330, 331, 344 and 345 Isle of Wight (England &amp; Wales). British Geological Survey: Keyworth, Nottingham</t>
  </si>
  <si>
    <t>ISBN:9780852727720</t>
  </si>
  <si>
    <r>
      <t>ISBN:</t>
    </r>
    <r>
      <rPr>
        <sz val="11"/>
        <color theme="1"/>
        <rFont val="Calibri"/>
        <family val="2"/>
        <scheme val="minor"/>
      </rPr>
      <t>9780751837773</t>
    </r>
  </si>
  <si>
    <t>DOI: 10.1144/GOEWP</t>
  </si>
  <si>
    <t>Lithology</t>
  </si>
  <si>
    <t>gslth:Non_Clastic_Siliceous_Sedimentary_Rock</t>
  </si>
  <si>
    <t>gslth:Siltstone</t>
  </si>
  <si>
    <t>Notes</t>
  </si>
  <si>
    <t>Clastic sedimentary rock consisting of less than 30 percent gravel-size (2 mm) particles and with a mud to sand ratio greater than 1  that contains detectable silt.</t>
  </si>
  <si>
    <t>gslth:Arenite</t>
  </si>
  <si>
    <t>gslth:Chalk</t>
  </si>
  <si>
    <t>gslth:Limestone</t>
  </si>
  <si>
    <t>is this really "Pure carbonate sedimentary rock with a calcite (plus aragonite) to dolomite ratio greater than 1 to 1. Includes limestone and dolomitic limestone.", or does it include more general gslth:Calcareous_Carbonate_Sedimentary_Rock</t>
  </si>
  <si>
    <t>need criteria to distinguish 'silty mudstone' from mudstone "Clastic sedimentary rock consisting of less than 30 percent gravel-size (2 mm) particles and with a mud to sand ratio greater than 1."</t>
  </si>
  <si>
    <t>need criteria to distinguish 'sandy mudstone' from mudstone "Clastic sedimentary rock consisting of less than 30 percent gravel-size (2 mm) particles and with a mud to sand ratio greater than 1."</t>
  </si>
  <si>
    <t>Clastic sedimentary rock consisting of less than 30 percent gravel-size (2 mm) particles and with a mud to sand ratio greater than 1. OR does this mean gslth:Claystone "Mudstone that contains no detectable silt, inferred to consist virtually entirely of clay-size particles."</t>
  </si>
  <si>
    <t>how is muddy distinguished from silty?</t>
  </si>
  <si>
    <t>gslth:Quartzite is a metamorphic rock. Is this metamorphic, or quartz arenite?</t>
  </si>
  <si>
    <t>gslth:Carbonate_Rich_Mudstone</t>
  </si>
  <si>
    <t>gslth:Generic_Mudstone</t>
  </si>
  <si>
    <t>gslth</t>
  </si>
  <si>
    <t>gsog:Formation</t>
  </si>
  <si>
    <t>gsog:Member</t>
  </si>
  <si>
    <t>gsog:Group</t>
  </si>
  <si>
    <t>gspr:Faulting</t>
  </si>
  <si>
    <t>gspr:Deposition</t>
  </si>
  <si>
    <t>?</t>
  </si>
  <si>
    <t>no process</t>
  </si>
  <si>
    <t>LithoStratClass</t>
  </si>
  <si>
    <t>iwh:BaseEarnleySand</t>
  </si>
  <si>
    <t>gsen:Lacustrine_Setting</t>
  </si>
  <si>
    <t>gsen:Swamp_Or_Marsh_Setting</t>
  </si>
  <si>
    <t>gsen:Shoreline_Setting</t>
  </si>
  <si>
    <t>gsen:River_Plain_System_Setting</t>
  </si>
  <si>
    <t>gsen:Marine_Setting</t>
  </si>
  <si>
    <t>gsen:Inner_Neritic_Setting</t>
  </si>
  <si>
    <t>gsen:Outer_Neritic_Setting</t>
  </si>
  <si>
    <t>gsen:Neritic_Setting</t>
  </si>
  <si>
    <t>gsen:Estuary_Setting| gsen:Inner_Neritic_Setting</t>
  </si>
  <si>
    <t>gsen:Piedmont_Slope_System_Setting</t>
  </si>
  <si>
    <t>Cowell Bay</t>
  </si>
  <si>
    <t>Headon Hill | Seagrove Bay | Osborne</t>
  </si>
  <si>
    <t>gsen</t>
  </si>
  <si>
    <t>label</t>
  </si>
  <si>
    <t>iwh:TopGlauconiticMarl</t>
  </si>
  <si>
    <t>iwh:BaseChalkGroup</t>
  </si>
  <si>
    <t>iwh:BaseHolywellNodularChalk</t>
  </si>
  <si>
    <t>iwh:BaseZigZagChalk</t>
  </si>
  <si>
    <t>iwh:baseMelbournRock</t>
  </si>
  <si>
    <t>iwh:topMelbournRock</t>
  </si>
  <si>
    <t>iwh:BaseSeafordChalk</t>
  </si>
  <si>
    <t>iwh:BaseLewesNodularChalk</t>
  </si>
  <si>
    <t>iwh:BaseNewPitChalk</t>
  </si>
  <si>
    <t>iwh:BaseLowerGreensandGroup</t>
  </si>
  <si>
    <t>iwh:BaseMonk'sBaySandstone</t>
  </si>
  <si>
    <t>iwh:BaseSandrock</t>
  </si>
  <si>
    <t>iwh:BaseFerruginousSands</t>
  </si>
  <si>
    <t>iwh:BaseKimmeridgeClay</t>
  </si>
  <si>
    <t>iwh:BaseSelborneGroup</t>
  </si>
  <si>
    <t>iwh:BaseUpperGreensand</t>
  </si>
  <si>
    <t>iwh:BasePortsdownChalk</t>
  </si>
  <si>
    <t>iwh:BaseCulverChalk</t>
  </si>
  <si>
    <t>iwh:BaseNewhavenChalk</t>
  </si>
  <si>
    <t>iwh:BaseLondon Clay</t>
  </si>
  <si>
    <t>iwh:BaseLambethGroup</t>
  </si>
  <si>
    <t>iwh:BaseThamesGroup</t>
  </si>
  <si>
    <t>iwh:BasePortsmouthMember</t>
  </si>
  <si>
    <t>iwh:TopPortsmouthMember</t>
  </si>
  <si>
    <t>iwh:BaseBrackleshamGroup</t>
  </si>
  <si>
    <t>iwh:BaseBectonSand</t>
  </si>
  <si>
    <t>iwh:BaseChamaSand</t>
  </si>
  <si>
    <t>iwh:BaseSelseySand</t>
  </si>
  <si>
    <t>iwh:BaseMarshFarm</t>
  </si>
  <si>
    <t>iwh:BaseBartonGroup</t>
  </si>
  <si>
    <t>iwh:BaseSolentGroup</t>
  </si>
  <si>
    <t>iwh:BaseBouldnor</t>
  </si>
  <si>
    <t>iwh:BaseCranmore</t>
  </si>
  <si>
    <t>iwh:BaseHamstead</t>
  </si>
  <si>
    <t>iwh:BaseBembridgeLimestone</t>
  </si>
  <si>
    <t>iwh:BaseSeagroveBay</t>
  </si>
  <si>
    <t>iwh:BaseOsborne</t>
  </si>
  <si>
    <t>iwh:BaseFishbourne</t>
  </si>
  <si>
    <t>iwh:BaseCliffEnd</t>
  </si>
  <si>
    <t>iwh:BaseColwellBay</t>
  </si>
  <si>
    <t>iwh:BaseHeadonHill</t>
  </si>
  <si>
    <t>UnderlyingUnit</t>
  </si>
  <si>
    <t>AgeMin</t>
  </si>
  <si>
    <t>AgeMax</t>
  </si>
  <si>
    <t>ThicknessMin</t>
  </si>
  <si>
    <t>ThicknessMax</t>
  </si>
  <si>
    <t>ThicknessProv</t>
  </si>
  <si>
    <t>regional IOW thickness; not proved in PM1</t>
  </si>
  <si>
    <t>proved in PM1</t>
  </si>
  <si>
    <t>locally proved in IOW; not proved in PM1</t>
  </si>
  <si>
    <t>AgeProv</t>
  </si>
  <si>
    <t>HookerEtAl, 2009, DOI: 10.1130/2009.2452(12)</t>
  </si>
  <si>
    <t>Ypresian</t>
  </si>
  <si>
    <t>Lutetian</t>
  </si>
  <si>
    <t>Gale et al, 1999, DOI: 10.1144/gsjgs.156.2.0327</t>
  </si>
  <si>
    <t>Solent Group</t>
  </si>
  <si>
    <t>Bouldnor Formation, Solent Group</t>
  </si>
  <si>
    <t>Cranmore Member of Bouldnor Formation, Solent Group</t>
  </si>
  <si>
    <t>Hamstead Member of Bouldnor Formation, Solent Group</t>
  </si>
  <si>
    <t>Bembridge Marls Member of Bouldnor Formation, Solent Group</t>
  </si>
  <si>
    <t>Headon Hill Formation, Solent Group</t>
  </si>
  <si>
    <t>Seagrove Bay Member of Headon Hill Formation, Solent Group</t>
  </si>
  <si>
    <t>Osborne Member of Headon Hill Formation, Solent Group</t>
  </si>
  <si>
    <t>Fishbourne Member of Headon Hill Formation, Solent Group</t>
  </si>
  <si>
    <t>Lacy's Farm Limestone Member of Headon Hill Formation, Solent Group</t>
  </si>
  <si>
    <t>Cliff End Member of Headon Hill Formation, Solent Group</t>
  </si>
  <si>
    <t>Colwell Bay Member of Headon Hill Formation, Solent Group</t>
  </si>
  <si>
    <t>Totland Bay Member of Headon Hill Formation, Solent Group</t>
  </si>
  <si>
    <t>Barton Group</t>
  </si>
  <si>
    <t>Becton Sand Formation, Barton Group</t>
  </si>
  <si>
    <t>Chama Sand Formation, Barton Group</t>
  </si>
  <si>
    <t>Barton Clay Formation, Barton Group</t>
  </si>
  <si>
    <t>Bracklesham Group</t>
  </si>
  <si>
    <t>Selsey Sand Formation, Bracklesham Group</t>
  </si>
  <si>
    <t>Marsh Farm Formation, Bracklesham Group</t>
  </si>
  <si>
    <t>Earnley Sand Formation, Bracklesham Group</t>
  </si>
  <si>
    <t>Wittering Formation, Bracklesham Group</t>
  </si>
  <si>
    <t>Thames Group</t>
  </si>
  <si>
    <t>London Clay Formation, Thames Group</t>
  </si>
  <si>
    <t>Harwich Formation, Thames Group</t>
  </si>
  <si>
    <t>Portsmouth Sand and Whitecliff Sand Member of London Clay Formation, Thames Group</t>
  </si>
  <si>
    <t>Bembridge Limestone, Solent Group</t>
  </si>
  <si>
    <t>UnitURI</t>
  </si>
  <si>
    <t>part_of</t>
  </si>
  <si>
    <t>iwh:strat-SOLT</t>
  </si>
  <si>
    <t>iwh:strat-BOUL</t>
  </si>
  <si>
    <t>iwh:strat-CRMA</t>
  </si>
  <si>
    <t>iwh:strat-HM</t>
  </si>
  <si>
    <t>iwh:strat-BMBG</t>
  </si>
  <si>
    <t>iwh:strat-BEL</t>
  </si>
  <si>
    <t>iwh:strat-HEHI</t>
  </si>
  <si>
    <t>iwh:strat-SEAB</t>
  </si>
  <si>
    <t>iwh:strat-OSB</t>
  </si>
  <si>
    <t>iwh:strat-FISH</t>
  </si>
  <si>
    <t>iwh:strat-LAFM</t>
  </si>
  <si>
    <t>iwh:strat-CLEN</t>
  </si>
  <si>
    <t>iwh:strat-COLW</t>
  </si>
  <si>
    <t>iwh:strat-TOTB</t>
  </si>
  <si>
    <t>iwh:strat-BA</t>
  </si>
  <si>
    <t>iwh:strat-BECS</t>
  </si>
  <si>
    <t>iwh:strat-CHMS</t>
  </si>
  <si>
    <t>iwh:strat-BAC</t>
  </si>
  <si>
    <t>iwh:strat-BRB</t>
  </si>
  <si>
    <t>iwh:strat-SLSY</t>
  </si>
  <si>
    <t>iwh:strat-MARF</t>
  </si>
  <si>
    <t>iwh:strat-EA</t>
  </si>
  <si>
    <t>iwh:strat-WTT</t>
  </si>
  <si>
    <t>iwh:strat-THAM</t>
  </si>
  <si>
    <t>iwh:strat-LC</t>
  </si>
  <si>
    <t>iwh:strat-POWH</t>
  </si>
  <si>
    <t>iwh:strat-HWH</t>
  </si>
  <si>
    <t>iwh:strat-LMBE</t>
  </si>
  <si>
    <t>iwh:strat-RB</t>
  </si>
  <si>
    <t>iwh:strat-CK</t>
  </si>
  <si>
    <t>iwh:strat-PCK</t>
  </si>
  <si>
    <t>iwh:strat-CUCK</t>
  </si>
  <si>
    <t>iwh:strat-NCK</t>
  </si>
  <si>
    <t>iwh:strat-SECK</t>
  </si>
  <si>
    <t>iwh:strat-LECH</t>
  </si>
  <si>
    <t>iwh:strat-NPCH</t>
  </si>
  <si>
    <t>iwh:strat-HCK</t>
  </si>
  <si>
    <t>iwh:strat-MR</t>
  </si>
  <si>
    <t>iwh:strat-PLMA</t>
  </si>
  <si>
    <t>iwh:strat-ZZCH</t>
  </si>
  <si>
    <t>iwh:strat-WMCH</t>
  </si>
  <si>
    <t>iwh:strat-GLML</t>
  </si>
  <si>
    <t>iwh:strat-SELB</t>
  </si>
  <si>
    <t>iwh:strat-UGS</t>
  </si>
  <si>
    <t>iwh:strat-GLT</t>
  </si>
  <si>
    <t>iwh:strat-LGS</t>
  </si>
  <si>
    <t>iwh:strat-MBSA</t>
  </si>
  <si>
    <t>iwh:strat-SIOW</t>
  </si>
  <si>
    <t>iwh:strat-FRS</t>
  </si>
  <si>
    <t>iwh:strat-AC</t>
  </si>
  <si>
    <t>iwh:strat-KC</t>
  </si>
  <si>
    <t>iwh:strat-CR</t>
  </si>
  <si>
    <t>iwh:strat-OXC</t>
  </si>
  <si>
    <t>iwh:strat-KLB</t>
  </si>
  <si>
    <t>iwh:strat-GOG</t>
  </si>
  <si>
    <t>iwh:strat-CB</t>
  </si>
  <si>
    <t>iwh:strat-INO</t>
  </si>
  <si>
    <t>iwh:strat-LI</t>
  </si>
  <si>
    <t>iwh:strat-PNG</t>
  </si>
  <si>
    <t>iwh:strat-MMG</t>
  </si>
  <si>
    <t>iwh:strat-BAN</t>
  </si>
  <si>
    <t>iwh:strat-DEV</t>
  </si>
  <si>
    <t>Name</t>
  </si>
  <si>
    <t>underlyingUnitURI</t>
  </si>
  <si>
    <t>contact subclass</t>
  </si>
  <si>
    <t>gscn:Unconformable_Contact</t>
  </si>
  <si>
    <t>gscn:Conformable_Contact</t>
  </si>
  <si>
    <t>gscn:Paraconformable_Contact</t>
  </si>
  <si>
    <t>underlying boundary participates in erosion; overlying contact participates in deposition</t>
  </si>
  <si>
    <t>overlying contact participates in deposition</t>
  </si>
  <si>
    <t>assume 'normal' means conformable?  overlying contact participates in deposition</t>
  </si>
  <si>
    <t>directTemporalLocation should reflect the range of age for the boundary; overlying contact participates in deposition</t>
  </si>
  <si>
    <t>gslth:Impure_Limestone</t>
  </si>
  <si>
    <t>gslth:Coal</t>
  </si>
  <si>
    <t>gslth:Gneiss</t>
  </si>
  <si>
    <t>gslth:Granitoid</t>
  </si>
  <si>
    <t>gslth:Basic_Igneous_Rock</t>
  </si>
  <si>
    <t>gslth:Fine_Grained_Igneous_Rock</t>
  </si>
  <si>
    <t>participatesIn gspr:Lava_Flow</t>
  </si>
  <si>
    <t>participatesIn gspr:Lava_Flow, gspr:Pyroclastic_Eruption</t>
  </si>
  <si>
    <t>how is muddy distinguished from silty?  Does 'mud' refer to grain size or clay mineralogy?</t>
  </si>
  <si>
    <t>gslth:Schist</t>
  </si>
  <si>
    <t>gslth:Slate</t>
  </si>
  <si>
    <t>gslth:Tuffite</t>
  </si>
  <si>
    <t>Restriction</t>
  </si>
  <si>
    <t>hasConstituent [a gsmin:calcite]</t>
  </si>
  <si>
    <t>how are chert and flint distinguished?</t>
  </si>
  <si>
    <t>hasConstituent [a gsmin:claymineral]</t>
  </si>
  <si>
    <t>hasConstituent [a gsmin:dolomite]</t>
  </si>
  <si>
    <t>hasConstituent [ a gsgm:Epiclastic_Particle_Material; gsoc:hasQuality  gslth:Grain_Size [ a gsoc:Quality_Range max ?mm , min gsoc:Numeric_Value]]</t>
  </si>
  <si>
    <t>assume 'sandy' means some epiclastic sand is present</t>
  </si>
  <si>
    <t>gsen:Lacustrine_Setting,  gsen:River_Plain_System_Setting, gsen:Marine_Setting</t>
  </si>
  <si>
    <t>gsen:Subaerial_Setting, gsen:Lacustrine_Setting</t>
  </si>
  <si>
    <t>gsen:Lacustrine_Setting, gsen:River_Plain_System_Setting, gsen:Marine_Setting</t>
  </si>
  <si>
    <t>gsen:Lacustrine_Setting, gsen:River_Plain_System_Setting</t>
  </si>
  <si>
    <t>gsen:Shoreline_Setting, gsen:Inner_Neritic_Setting, gsen:Middle_Neritic_Setting</t>
  </si>
  <si>
    <t xml:space="preserve">gsen:Shoreline_Setting, gsen:Inner_Neritic_Setting </t>
  </si>
  <si>
    <t>gsen:Inner_Neritic_Setting, gsen:Middle_Neritic_Setting</t>
  </si>
  <si>
    <t>gsen:Shoreline_Setting, gsen:Inner_Neritic_Setting</t>
  </si>
  <si>
    <t>gsen:Middle_Neritic_Setting,  gsen:Outer_Neritic_Setting</t>
  </si>
  <si>
    <t>gsen:Lacustrine_Setting, gsen:Shoreline_Setting, gsen:Inner_Neritic_Setting</t>
  </si>
  <si>
    <t>gsen:Playa_Setting, gsen:Alluvial_Plain_Setting</t>
  </si>
  <si>
    <t>gsen:Swamp_Or_Marsh_Setting,  gsen:Inner_Neritic_Setting</t>
  </si>
  <si>
    <t>PaleoenvURI</t>
  </si>
  <si>
    <t>process</t>
  </si>
  <si>
    <t>notes</t>
  </si>
  <si>
    <t>gsog:Contact</t>
  </si>
  <si>
    <t>gscn:Faulted_Contact</t>
  </si>
  <si>
    <t>Priabonian</t>
  </si>
  <si>
    <t>Rupelian</t>
  </si>
  <si>
    <t>Bartonian</t>
  </si>
  <si>
    <t>DominantLithURI</t>
  </si>
  <si>
    <t>SubordinateLithURI</t>
  </si>
  <si>
    <t>ISBN:9780751837773, ISBN:9780852727720, DOI:10.1144/GOEWP</t>
  </si>
  <si>
    <t>BasalContactProcessURI</t>
  </si>
  <si>
    <t>BasalContactSubClassURI</t>
  </si>
  <si>
    <t>gspr:Erosion,  gspr:Deposition</t>
  </si>
  <si>
    <t>BasalContactID</t>
  </si>
  <si>
    <t>TopBoundaryID</t>
  </si>
  <si>
    <t>iwh:contact_solt_on_ba</t>
  </si>
  <si>
    <t>iwh:contact_boul_on_bel</t>
  </si>
  <si>
    <t>iwh:contact_crma_on_hm</t>
  </si>
  <si>
    <t>iwh:contact_hm_on_bmbg</t>
  </si>
  <si>
    <t>iwh:contact_bmbh_on_bel</t>
  </si>
  <si>
    <t>iwh:contact_bel_on_hehi</t>
  </si>
  <si>
    <t>iwh:contact_hehi_on_becs</t>
  </si>
  <si>
    <t>iwh:contact_seab_on_osb</t>
  </si>
  <si>
    <t>iwh:contact_osb_on_fish</t>
  </si>
  <si>
    <t>iwh:contact_fish_on_lafm</t>
  </si>
  <si>
    <t>iwh:contact_lafm_on_clen</t>
  </si>
  <si>
    <t>iwh:contact_clen_on_colw</t>
  </si>
  <si>
    <t>iwh:contact_colw_on_totb</t>
  </si>
  <si>
    <t>iwh:contact_totb_on_becs</t>
  </si>
  <si>
    <t>iwh:contact_ba_on_brb</t>
  </si>
  <si>
    <t>iwh:contact_becs_on_chms</t>
  </si>
  <si>
    <t>iwh:contact_chms_on_bac</t>
  </si>
  <si>
    <t>iwh:contact_bac_on_slsy</t>
  </si>
  <si>
    <t>iwh:contact_brb_on_tham</t>
  </si>
  <si>
    <t>iwh:contact_slsy_on_marf</t>
  </si>
  <si>
    <t>iwh:contact_marf_on_ea</t>
  </si>
  <si>
    <t>iwh:contact_ea_on_wtt</t>
  </si>
  <si>
    <t>iwh:contact_wtt_on_lc</t>
  </si>
  <si>
    <t>iwh:contact_tham_on_lmbe</t>
  </si>
  <si>
    <t>iwh:contact_lc_on_hwh</t>
  </si>
  <si>
    <t>iwh:contact_powh_on_lc</t>
  </si>
  <si>
    <t>iwh:contact_hwh_on_lmbe</t>
  </si>
  <si>
    <t>BasalBoundaryID</t>
  </si>
  <si>
    <t>iwh:TopSolentGroup</t>
  </si>
  <si>
    <t>iwh:TopHamstead</t>
  </si>
  <si>
    <t>iwh:TopBembridgeLimestone</t>
  </si>
  <si>
    <t>iwh:TopHeadonHill</t>
  </si>
  <si>
    <t>iwh:TopOsborne</t>
  </si>
  <si>
    <t>iwh:TopFishbourne</t>
  </si>
  <si>
    <t>iwh:TopCliffEnd</t>
  </si>
  <si>
    <t>iwh:TopColwellBay</t>
  </si>
  <si>
    <t>iwh:TopBartonGroup</t>
  </si>
  <si>
    <t>iwh:TopChamaSand</t>
  </si>
  <si>
    <t>iwh:TopBrackleshamGroup</t>
  </si>
  <si>
    <t>iwh:TopSelseySand</t>
  </si>
  <si>
    <t>iwh:TopMarshFarm</t>
  </si>
  <si>
    <t>iwh:TopEarnleySand</t>
  </si>
  <si>
    <t>iwh:TopWittering</t>
  </si>
  <si>
    <t>iwh:TopThamesGroup</t>
  </si>
  <si>
    <t>iwh:TopBembridgeMarls</t>
  </si>
  <si>
    <t>iwh:BaseLacysFarmLimestone</t>
  </si>
  <si>
    <t>iwh:TopLacysFarmLimestone</t>
  </si>
  <si>
    <t>iwh:TopTotlandBay</t>
  </si>
  <si>
    <t>iwh:TopBartonClay</t>
  </si>
  <si>
    <t>iwh:TopHarwich</t>
  </si>
  <si>
    <t>Additional_Lithology_Description</t>
  </si>
  <si>
    <t>Triple1</t>
  </si>
  <si>
    <t>Triple2</t>
  </si>
  <si>
    <t>Triple3</t>
  </si>
  <si>
    <t>Triple4</t>
  </si>
  <si>
    <t>Triple5</t>
  </si>
  <si>
    <t>Triple6</t>
  </si>
  <si>
    <t>Triple7</t>
  </si>
  <si>
    <t>TopBoundaryProcess</t>
  </si>
  <si>
    <t>gspr:Erosion</t>
  </si>
  <si>
    <t>gspr:Deposition_Hiatus</t>
  </si>
  <si>
    <t>Triple8</t>
  </si>
  <si>
    <t>Triple9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</si>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</sst>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3"/>
      <color theme="3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3" fillId="0" borderId="2" applyNumberFormat="0" applyFill="0" applyAlignment="0" applyProtection="0"/>
  </cellStyleXfs>
  <cellXfs count="16">
    <xf numFmtId="0" fontId="0" fillId="0" borderId="0" xfId="0"/>
    <xf numFmtId="0" fontId="0" fillId="2" borderId="1" xfId="0" applyFill="1" applyBorder="1"/>
    <xf numFmtId="0" fontId="1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0" fontId="3" fillId="0" borderId="2" xfId="1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Fill="1" applyAlignment="1">
      <alignment vertical="top" wrapText="1"/>
    </xf>
    <xf numFmtId="0" fontId="1" fillId="0" borderId="0" xfId="0" applyFont="1" applyAlignment="1">
      <alignment vertical="top" wrapText="1"/>
    </xf>
    <xf numFmtId="0" fontId="0" fillId="0" borderId="0" xfId="0" applyFont="1"/>
    <xf numFmtId="0" fontId="0" fillId="0" borderId="0" xfId="0" applyFont="1" applyFill="1" applyBorder="1"/>
    <xf numFmtId="0" fontId="0" fillId="3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0" xfId="0" applyFill="1" applyAlignment="1">
      <alignment vertical="top" wrapText="1"/>
    </xf>
    <xf numFmtId="0" fontId="5" fillId="0" borderId="0" xfId="0" applyFont="1" applyAlignment="1">
      <alignment vertical="top" wrapText="1"/>
    </xf>
  </cellXfs>
  <cellStyles count="2">
    <cellStyle name="Heading 2" xfId="1" builtinId="17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54752FC-072E-45B8-A530-ECADF51F1B01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64"/>
  <sheetViews>
    <sheetView tabSelected="1" topLeftCell="A13" zoomScaleNormal="100" workbookViewId="0">
      <selection activeCell="O20" sqref="O20"/>
    </sheetView>
  </sheetViews>
  <sheetFormatPr defaultRowHeight="15" x14ac:dyDescent="0.25"/>
  <cols>
    <col min="1" max="1" width="10.42578125" style="7" customWidth="1"/>
    <col min="2" max="2" width="14.85546875" style="7" bestFit="1" customWidth="1"/>
    <col min="3" max="3" width="16.28515625" style="7" customWidth="1"/>
    <col min="4" max="4" width="21.5703125" style="7" customWidth="1"/>
    <col min="5" max="5" width="15.5703125" style="7" customWidth="1"/>
    <col min="6" max="6" width="7.7109375" style="7" customWidth="1"/>
    <col min="7" max="7" width="5.5703125" style="7" customWidth="1"/>
    <col min="8" max="8" width="10.42578125" style="7" customWidth="1"/>
    <col min="9" max="9" width="6.140625" style="7" customWidth="1"/>
    <col min="10" max="10" width="10.7109375" style="7" customWidth="1"/>
    <col min="11" max="11" width="6.7109375" style="7" customWidth="1"/>
    <col min="12" max="12" width="7.42578125" style="7" hidden="1" customWidth="1"/>
    <col min="13" max="13" width="9.85546875" style="7" hidden="1" customWidth="1"/>
    <col min="14" max="14" width="13.85546875" style="7" customWidth="1"/>
    <col min="15" max="15" width="16" style="7" customWidth="1"/>
    <col min="16" max="17" width="27.85546875" style="7" customWidth="1"/>
    <col min="18" max="18" width="19.5703125" style="7" customWidth="1"/>
    <col min="19" max="20" width="20" style="7" customWidth="1"/>
    <col min="21" max="21" width="15.7109375" style="7" customWidth="1"/>
    <col min="22" max="22" width="17.85546875" style="7" customWidth="1"/>
    <col min="23" max="23" width="16.28515625" style="7" bestFit="1" customWidth="1"/>
    <col min="24" max="24" width="18.42578125" style="7" customWidth="1"/>
    <col min="25" max="25" width="16.28515625" style="7" customWidth="1"/>
    <col min="26" max="27" width="25.28515625" style="7" customWidth="1"/>
    <col min="28" max="28" width="15.28515625" style="7" hidden="1" customWidth="1"/>
    <col min="29" max="30" width="22.85546875" style="7" customWidth="1"/>
    <col min="31" max="31" width="27.140625" style="7" hidden="1" customWidth="1"/>
    <col min="32" max="32" width="31.28515625" style="7" hidden="1" customWidth="1"/>
    <col min="33" max="33" width="18.5703125" style="7" hidden="1" customWidth="1"/>
    <col min="34" max="34" width="48.42578125" style="7" customWidth="1"/>
    <col min="35" max="37" width="18.5703125" style="7" customWidth="1"/>
    <col min="38" max="38" width="55.5703125" style="7" customWidth="1"/>
    <col min="39" max="39" width="40.85546875" style="7" customWidth="1"/>
    <col min="40" max="40" width="38.5703125" style="7" customWidth="1"/>
    <col min="41" max="41" width="63.5703125" style="7" customWidth="1"/>
    <col min="42" max="42" width="20.85546875" style="7" customWidth="1"/>
    <col min="43" max="16384" width="9.140625" style="7"/>
  </cols>
  <sheetData>
    <row r="1" spans="1:41" ht="60" x14ac:dyDescent="0.25">
      <c r="A1" s="6" t="s">
        <v>414</v>
      </c>
      <c r="B1" s="12" t="s">
        <v>1053</v>
      </c>
      <c r="C1" s="12" t="s">
        <v>1151</v>
      </c>
      <c r="D1" s="12" t="s">
        <v>1068</v>
      </c>
      <c r="E1" s="12" t="s">
        <v>1152</v>
      </c>
      <c r="F1" s="6" t="s">
        <v>415</v>
      </c>
      <c r="G1" s="6" t="s">
        <v>416</v>
      </c>
      <c r="H1" s="6" t="s">
        <v>417</v>
      </c>
      <c r="I1" s="6" t="s">
        <v>418</v>
      </c>
      <c r="J1" s="6" t="s">
        <v>419</v>
      </c>
      <c r="K1" s="6" t="s">
        <v>420</v>
      </c>
      <c r="L1" s="6" t="s">
        <v>421</v>
      </c>
      <c r="M1" s="6" t="s">
        <v>422</v>
      </c>
      <c r="N1" s="12" t="s">
        <v>1111</v>
      </c>
      <c r="O1" s="12" t="s">
        <v>1112</v>
      </c>
      <c r="P1" s="12" t="s">
        <v>1119</v>
      </c>
      <c r="Q1" s="12" t="s">
        <v>1270</v>
      </c>
      <c r="R1" s="12" t="s">
        <v>1299</v>
      </c>
      <c r="S1" s="12" t="s">
        <v>1271</v>
      </c>
      <c r="T1" s="12" t="s">
        <v>1330</v>
      </c>
      <c r="U1" s="12" t="s">
        <v>1110</v>
      </c>
      <c r="V1" s="12" t="s">
        <v>1216</v>
      </c>
      <c r="W1" s="6" t="s">
        <v>432</v>
      </c>
      <c r="X1" s="12" t="s">
        <v>1267</v>
      </c>
      <c r="Y1" s="12" t="s">
        <v>1268</v>
      </c>
      <c r="Z1" s="6" t="s">
        <v>426</v>
      </c>
      <c r="AA1" s="12" t="s">
        <v>1264</v>
      </c>
      <c r="AB1" s="6" t="s">
        <v>425</v>
      </c>
      <c r="AC1" s="6" t="s">
        <v>427</v>
      </c>
      <c r="AD1" s="12" t="s">
        <v>1265</v>
      </c>
      <c r="AE1" s="6" t="s">
        <v>428</v>
      </c>
      <c r="AF1" s="6" t="s">
        <v>429</v>
      </c>
      <c r="AG1" s="6" t="s">
        <v>430</v>
      </c>
      <c r="AH1" s="6" t="s">
        <v>1322</v>
      </c>
      <c r="AI1" s="12" t="s">
        <v>1113</v>
      </c>
      <c r="AJ1" s="12" t="s">
        <v>1114</v>
      </c>
      <c r="AK1" s="12" t="s">
        <v>1115</v>
      </c>
      <c r="AL1" s="6" t="s">
        <v>431</v>
      </c>
      <c r="AM1" s="12" t="s">
        <v>1256</v>
      </c>
      <c r="AN1" s="6" t="s">
        <v>423</v>
      </c>
      <c r="AO1" s="6" t="s">
        <v>424</v>
      </c>
    </row>
    <row r="2" spans="1:41" ht="45" x14ac:dyDescent="0.25">
      <c r="A2" s="7" t="s">
        <v>676</v>
      </c>
      <c r="B2" s="7" t="s">
        <v>1048</v>
      </c>
      <c r="C2" s="7" t="str">
        <f>"iwh:strat-"&amp; IF(ISBLANK(J2),IF(ISBLANK(H2), IF(ISBLANK(F2),"", G2), I2),  K2)</f>
        <v>iwh:strat-SOLT</v>
      </c>
      <c r="D2" s="7" t="s">
        <v>1124</v>
      </c>
      <c r="E2" s="7" t="str">
        <f t="shared" ref="E2:E51" si="0" xml:space="preserve"> IF(ISBLANK(J2),IF(ISBLANK(H2), "",  IF(ISBLANK(F2),"","iwh:strat-"&amp;G2)),  "iwh:strat-"&amp;I2)</f>
        <v/>
      </c>
      <c r="F2" s="7" t="s">
        <v>463</v>
      </c>
      <c r="G2" s="7" t="s">
        <v>464</v>
      </c>
      <c r="N2" s="15" t="s">
        <v>1261</v>
      </c>
      <c r="O2" s="15" t="s">
        <v>1262</v>
      </c>
      <c r="P2" s="7" t="s">
        <v>1120</v>
      </c>
      <c r="Q2" s="7" t="s">
        <v>1272</v>
      </c>
      <c r="R2" s="7" t="s">
        <v>1099</v>
      </c>
      <c r="S2" s="7" t="s">
        <v>1300</v>
      </c>
      <c r="T2" s="7" t="str">
        <f>X2</f>
        <v>gspr:Deposition</v>
      </c>
      <c r="U2" s="7" t="s">
        <v>486</v>
      </c>
      <c r="V2" s="7" t="str">
        <f t="shared" ref="V2:V28" si="1">VLOOKUP(U2,unitURIlookup,2)</f>
        <v>iwh:strat-BA</v>
      </c>
      <c r="W2" s="7" t="s">
        <v>434</v>
      </c>
      <c r="X2" s="7" t="str">
        <f t="shared" ref="X2:X28" si="2">VLOOKUP(W2,Lookup_contact,2,FALSE)</f>
        <v>gspr:Deposition</v>
      </c>
      <c r="Y2" s="7" t="str">
        <f>VLOOKUP(W2,Lookup_contact,4,FALSE)</f>
        <v>gscn:Conformable_Contact</v>
      </c>
      <c r="Z2" s="7" t="s">
        <v>451</v>
      </c>
      <c r="AA2" s="7" t="str">
        <f t="shared" ref="AA2:AA28" si="3">VLOOKUP(Z2,Lookup_Lithology,2,FALSE)</f>
        <v>gslth:Generic_Mudstone</v>
      </c>
      <c r="AB2" s="7" t="s">
        <v>401</v>
      </c>
      <c r="AC2" s="7" t="s">
        <v>437</v>
      </c>
      <c r="AD2" s="7" t="str">
        <f t="shared" ref="AD2:AD28" si="4">IF(ISBLANK(AC2),"",VLOOKUP(AC2,Lookup_Lithology,2,FALSE))</f>
        <v>gslth:Limestone</v>
      </c>
      <c r="AE2" s="7" t="s">
        <v>409</v>
      </c>
      <c r="AH2" s="7" t="s">
        <v>467</v>
      </c>
      <c r="AI2" s="7">
        <v>0</v>
      </c>
      <c r="AJ2" s="7">
        <v>200</v>
      </c>
      <c r="AK2" s="7" t="s">
        <v>1116</v>
      </c>
      <c r="AL2" s="7" t="s">
        <v>960</v>
      </c>
      <c r="AM2" s="7" t="str">
        <f t="shared" ref="AM2:AM28" si="5">VLOOKUP(AN2,Lookup_environment,2,FALSE)</f>
        <v>gsen:Lacustrine_Setting,  gsen:River_Plain_System_Setting, gsen:Marine_Setting</v>
      </c>
      <c r="AN2" s="7" t="s">
        <v>655</v>
      </c>
      <c r="AO2" s="7" t="s">
        <v>1266</v>
      </c>
    </row>
    <row r="3" spans="1:41" ht="45" x14ac:dyDescent="0.25">
      <c r="A3" s="7" t="s">
        <v>676</v>
      </c>
      <c r="B3" s="7" t="s">
        <v>1046</v>
      </c>
      <c r="C3" s="7" t="str">
        <f t="shared" ref="C3:C63" si="6">"iwh:strat-"&amp; IF(ISBLANK(J3),IF(ISBLANK(H3), IF(ISBLANK(F3),"", G3), I3),  K3)</f>
        <v>iwh:strat-BOUL</v>
      </c>
      <c r="D3" s="7" t="s">
        <v>1125</v>
      </c>
      <c r="E3" s="7" t="str">
        <f t="shared" si="0"/>
        <v>iwh:strat-SOLT</v>
      </c>
      <c r="F3" s="7" t="s">
        <v>463</v>
      </c>
      <c r="G3" s="7" t="s">
        <v>464</v>
      </c>
      <c r="H3" s="7" t="s">
        <v>465</v>
      </c>
      <c r="I3" s="7" t="s">
        <v>466</v>
      </c>
      <c r="N3" s="15" t="s">
        <v>1262</v>
      </c>
      <c r="P3" s="7" t="s">
        <v>1120</v>
      </c>
      <c r="Q3" s="7" t="s">
        <v>1273</v>
      </c>
      <c r="R3" s="7" t="s">
        <v>1100</v>
      </c>
      <c r="S3" s="7" t="s">
        <v>1300</v>
      </c>
      <c r="T3" s="7" t="str">
        <f t="shared" ref="T3:T5" si="7">X3</f>
        <v>gspr:Deposition</v>
      </c>
      <c r="U3" s="7" t="s">
        <v>478</v>
      </c>
      <c r="V3" s="7" t="str">
        <f t="shared" si="1"/>
        <v>iwh:strat-BEL</v>
      </c>
      <c r="W3" s="7" t="s">
        <v>753</v>
      </c>
      <c r="X3" s="7" t="str">
        <f t="shared" si="2"/>
        <v>gspr:Deposition</v>
      </c>
      <c r="Y3" s="7" t="str">
        <f t="shared" ref="Y3:Y28" si="8">VLOOKUP(W3,Lookup_contact,4,FALSE)</f>
        <v>gscn:Paraconformable_Contact</v>
      </c>
      <c r="Z3" s="7" t="s">
        <v>451</v>
      </c>
      <c r="AA3" s="7" t="str">
        <f t="shared" si="3"/>
        <v>gslth:Generic_Mudstone</v>
      </c>
      <c r="AB3" s="7" t="s">
        <v>401</v>
      </c>
      <c r="AD3" s="7" t="str">
        <f t="shared" si="4"/>
        <v/>
      </c>
      <c r="AH3" s="7" t="s">
        <v>468</v>
      </c>
      <c r="AI3" s="7">
        <v>0</v>
      </c>
      <c r="AJ3" s="7">
        <v>11</v>
      </c>
      <c r="AK3" s="7" t="s">
        <v>1116</v>
      </c>
      <c r="AL3" s="7" t="s">
        <v>959</v>
      </c>
      <c r="AM3" s="7" t="str">
        <f t="shared" si="5"/>
        <v>gsen:Swamp_Or_Marsh_Setting</v>
      </c>
      <c r="AN3" s="7" t="s">
        <v>663</v>
      </c>
      <c r="AO3" s="7" t="s">
        <v>1266</v>
      </c>
    </row>
    <row r="4" spans="1:41" ht="45" x14ac:dyDescent="0.25">
      <c r="A4" s="7" t="s">
        <v>676</v>
      </c>
      <c r="B4" s="7" t="s">
        <v>1047</v>
      </c>
      <c r="C4" s="7" t="str">
        <f t="shared" si="6"/>
        <v>iwh:strat-CRMA</v>
      </c>
      <c r="D4" s="7" t="s">
        <v>1126</v>
      </c>
      <c r="E4" s="7" t="str">
        <f t="shared" si="0"/>
        <v>iwh:strat-BOUL</v>
      </c>
      <c r="F4" s="7" t="s">
        <v>463</v>
      </c>
      <c r="G4" s="7" t="s">
        <v>464</v>
      </c>
      <c r="H4" s="7" t="s">
        <v>465</v>
      </c>
      <c r="I4" s="7" t="s">
        <v>466</v>
      </c>
      <c r="J4" s="7" t="s">
        <v>469</v>
      </c>
      <c r="K4" s="7" t="s">
        <v>491</v>
      </c>
      <c r="N4" s="15" t="s">
        <v>1262</v>
      </c>
      <c r="P4" s="7" t="s">
        <v>1120</v>
      </c>
      <c r="Q4" s="7" t="s">
        <v>1274</v>
      </c>
      <c r="R4" s="7" t="s">
        <v>1101</v>
      </c>
      <c r="S4" s="7" t="s">
        <v>1300</v>
      </c>
      <c r="T4" s="7" t="str">
        <f t="shared" si="7"/>
        <v>gspr:Deposition</v>
      </c>
      <c r="U4" s="7" t="s">
        <v>471</v>
      </c>
      <c r="V4" s="7" t="str">
        <f t="shared" si="1"/>
        <v>iwh:strat-HM</v>
      </c>
      <c r="W4" s="7" t="s">
        <v>434</v>
      </c>
      <c r="X4" s="7" t="str">
        <f t="shared" si="2"/>
        <v>gspr:Deposition</v>
      </c>
      <c r="Y4" s="7" t="str">
        <f t="shared" si="8"/>
        <v>gscn:Conformable_Contact</v>
      </c>
      <c r="Z4" s="7" t="s">
        <v>449</v>
      </c>
      <c r="AA4" s="7" t="str">
        <f t="shared" si="3"/>
        <v>gslth:Generic_Mudstone</v>
      </c>
      <c r="AB4" s="7" t="s">
        <v>402</v>
      </c>
      <c r="AD4" s="7" t="str">
        <f t="shared" si="4"/>
        <v/>
      </c>
      <c r="AH4" s="7" t="s">
        <v>470</v>
      </c>
      <c r="AI4" s="7">
        <v>0</v>
      </c>
      <c r="AJ4" s="7">
        <v>9</v>
      </c>
      <c r="AK4" s="7" t="s">
        <v>1116</v>
      </c>
      <c r="AL4" s="7" t="s">
        <v>958</v>
      </c>
      <c r="AM4" s="7" t="str">
        <f t="shared" si="5"/>
        <v>gsen:Swamp_Or_Marsh_Setting,  gsen:Inner_Neritic_Setting</v>
      </c>
      <c r="AN4" s="7" t="s">
        <v>664</v>
      </c>
      <c r="AO4" s="7" t="s">
        <v>1266</v>
      </c>
    </row>
    <row r="5" spans="1:41" ht="45" x14ac:dyDescent="0.25">
      <c r="A5" s="7" t="s">
        <v>676</v>
      </c>
      <c r="B5" s="7" t="s">
        <v>1047</v>
      </c>
      <c r="C5" s="7" t="str">
        <f t="shared" si="6"/>
        <v>iwh:strat-HM</v>
      </c>
      <c r="D5" s="7" t="s">
        <v>1127</v>
      </c>
      <c r="E5" s="7" t="str">
        <f t="shared" si="0"/>
        <v>iwh:strat-BOUL</v>
      </c>
      <c r="F5" s="7" t="s">
        <v>463</v>
      </c>
      <c r="G5" s="7" t="s">
        <v>464</v>
      </c>
      <c r="H5" s="7" t="s">
        <v>465</v>
      </c>
      <c r="I5" s="7" t="s">
        <v>466</v>
      </c>
      <c r="J5" s="7" t="s">
        <v>471</v>
      </c>
      <c r="K5" s="7" t="s">
        <v>492</v>
      </c>
      <c r="N5" s="15" t="s">
        <v>1262</v>
      </c>
      <c r="P5" s="7" t="s">
        <v>1120</v>
      </c>
      <c r="Q5" s="7" t="s">
        <v>1275</v>
      </c>
      <c r="R5" s="7" t="s">
        <v>1102</v>
      </c>
      <c r="S5" s="7" t="s">
        <v>1301</v>
      </c>
      <c r="T5" s="7" t="str">
        <f t="shared" si="7"/>
        <v>gspr:Deposition</v>
      </c>
      <c r="U5" s="7" t="s">
        <v>473</v>
      </c>
      <c r="V5" s="7" t="str">
        <f t="shared" si="1"/>
        <v>iwh:strat-BMBG</v>
      </c>
      <c r="W5" s="7" t="s">
        <v>753</v>
      </c>
      <c r="X5" s="7" t="str">
        <f t="shared" si="2"/>
        <v>gspr:Deposition</v>
      </c>
      <c r="Y5" s="7" t="str">
        <f t="shared" si="8"/>
        <v>gscn:Paraconformable_Contact</v>
      </c>
      <c r="Z5" s="7" t="s">
        <v>449</v>
      </c>
      <c r="AA5" s="7" t="str">
        <f t="shared" si="3"/>
        <v>gslth:Generic_Mudstone</v>
      </c>
      <c r="AB5" s="7" t="s">
        <v>402</v>
      </c>
      <c r="AC5" s="7" t="s">
        <v>451</v>
      </c>
      <c r="AD5" s="7" t="str">
        <f t="shared" si="4"/>
        <v>gslth:Generic_Mudstone</v>
      </c>
      <c r="AE5" s="7" t="s">
        <v>401</v>
      </c>
      <c r="AH5" s="7" t="s">
        <v>502</v>
      </c>
      <c r="AI5" s="7">
        <v>0</v>
      </c>
      <c r="AJ5" s="7">
        <v>58</v>
      </c>
      <c r="AK5" s="7" t="s">
        <v>1116</v>
      </c>
      <c r="AL5" s="7" t="s">
        <v>957</v>
      </c>
      <c r="AM5" s="7" t="str">
        <f t="shared" si="5"/>
        <v>gsen:Shoreline_Setting</v>
      </c>
      <c r="AN5" s="7" t="s">
        <v>665</v>
      </c>
      <c r="AO5" s="7" t="s">
        <v>1266</v>
      </c>
    </row>
    <row r="6" spans="1:41" ht="60" x14ac:dyDescent="0.25">
      <c r="A6" s="7" t="s">
        <v>676</v>
      </c>
      <c r="B6" s="7" t="s">
        <v>1047</v>
      </c>
      <c r="C6" s="7" t="str">
        <f t="shared" si="6"/>
        <v>iwh:strat-BMBG</v>
      </c>
      <c r="D6" s="7" t="s">
        <v>1128</v>
      </c>
      <c r="E6" s="7" t="str">
        <f t="shared" si="0"/>
        <v>iwh:strat-BOUL</v>
      </c>
      <c r="F6" s="7" t="s">
        <v>463</v>
      </c>
      <c r="G6" s="7" t="s">
        <v>464</v>
      </c>
      <c r="H6" s="7" t="s">
        <v>465</v>
      </c>
      <c r="I6" s="7" t="s">
        <v>466</v>
      </c>
      <c r="J6" s="7" t="s">
        <v>473</v>
      </c>
      <c r="K6" s="7" t="s">
        <v>493</v>
      </c>
      <c r="N6" s="15" t="s">
        <v>1261</v>
      </c>
      <c r="P6" s="7" t="s">
        <v>1120</v>
      </c>
      <c r="Q6" s="7" t="s">
        <v>1276</v>
      </c>
      <c r="R6" s="7" t="s">
        <v>1100</v>
      </c>
      <c r="S6" s="7" t="s">
        <v>1316</v>
      </c>
      <c r="T6" s="7" t="s">
        <v>1332</v>
      </c>
      <c r="U6" s="7" t="s">
        <v>478</v>
      </c>
      <c r="V6" s="7" t="str">
        <f t="shared" si="1"/>
        <v>iwh:strat-BEL</v>
      </c>
      <c r="W6" s="7" t="s">
        <v>753</v>
      </c>
      <c r="X6" s="7" t="str">
        <f t="shared" si="2"/>
        <v>gspr:Deposition</v>
      </c>
      <c r="Y6" s="7" t="str">
        <f t="shared" si="8"/>
        <v>gscn:Paraconformable_Contact</v>
      </c>
      <c r="Z6" s="7" t="s">
        <v>451</v>
      </c>
      <c r="AA6" s="7" t="str">
        <f t="shared" si="3"/>
        <v>gslth:Generic_Mudstone</v>
      </c>
      <c r="AB6" s="7" t="s">
        <v>401</v>
      </c>
      <c r="AC6" s="7" t="s">
        <v>437</v>
      </c>
      <c r="AD6" s="7" t="str">
        <f t="shared" si="4"/>
        <v>gslth:Limestone</v>
      </c>
      <c r="AE6" s="7" t="s">
        <v>409</v>
      </c>
      <c r="AH6" s="7" t="s">
        <v>503</v>
      </c>
      <c r="AI6" s="7">
        <v>0</v>
      </c>
      <c r="AJ6" s="7">
        <v>34</v>
      </c>
      <c r="AK6" s="7" t="s">
        <v>1116</v>
      </c>
      <c r="AL6" s="7" t="s">
        <v>956</v>
      </c>
      <c r="AM6" s="7" t="str">
        <f t="shared" si="5"/>
        <v>gsen:Shoreline_Setting</v>
      </c>
      <c r="AN6" s="7" t="s">
        <v>665</v>
      </c>
      <c r="AO6" s="7" t="s">
        <v>1266</v>
      </c>
    </row>
    <row r="7" spans="1:41" ht="45" x14ac:dyDescent="0.25">
      <c r="A7" s="7" t="s">
        <v>676</v>
      </c>
      <c r="B7" s="7" t="s">
        <v>1046</v>
      </c>
      <c r="C7" s="7" t="str">
        <f t="shared" si="6"/>
        <v>iwh:strat-BEL</v>
      </c>
      <c r="D7" s="7" t="s">
        <v>1150</v>
      </c>
      <c r="E7" s="7" t="str">
        <f t="shared" si="0"/>
        <v>iwh:strat-SOLT</v>
      </c>
      <c r="F7" s="7" t="s">
        <v>463</v>
      </c>
      <c r="G7" s="7" t="s">
        <v>464</v>
      </c>
      <c r="H7" s="7" t="s">
        <v>478</v>
      </c>
      <c r="I7" s="7" t="s">
        <v>489</v>
      </c>
      <c r="N7" s="15" t="s">
        <v>1261</v>
      </c>
      <c r="P7" s="7" t="s">
        <v>1120</v>
      </c>
      <c r="Q7" s="7" t="s">
        <v>1277</v>
      </c>
      <c r="R7" s="7" t="s">
        <v>1103</v>
      </c>
      <c r="S7" s="7" t="s">
        <v>1302</v>
      </c>
      <c r="T7" s="7" t="s">
        <v>1332</v>
      </c>
      <c r="U7" s="7" t="s">
        <v>1066</v>
      </c>
      <c r="V7" s="7" t="str">
        <f t="shared" si="1"/>
        <v>iwh:strat-HEHI</v>
      </c>
      <c r="W7" s="7" t="s">
        <v>702</v>
      </c>
      <c r="X7" s="7" t="s">
        <v>1050</v>
      </c>
      <c r="Y7" s="7" t="str">
        <f t="shared" si="8"/>
        <v>gscn:Unconformable_Contact</v>
      </c>
      <c r="Z7" s="7" t="s">
        <v>437</v>
      </c>
      <c r="AA7" s="7" t="str">
        <f t="shared" si="3"/>
        <v>gslth:Limestone</v>
      </c>
      <c r="AB7" s="7" t="s">
        <v>409</v>
      </c>
      <c r="AC7" s="7" t="s">
        <v>449</v>
      </c>
      <c r="AD7" s="7" t="str">
        <f t="shared" si="4"/>
        <v>gslth:Generic_Mudstone</v>
      </c>
      <c r="AH7" s="7" t="s">
        <v>504</v>
      </c>
      <c r="AI7" s="7">
        <v>0</v>
      </c>
      <c r="AJ7" s="7">
        <v>85</v>
      </c>
      <c r="AK7" s="7" t="s">
        <v>1116</v>
      </c>
      <c r="AL7" s="7" t="s">
        <v>955</v>
      </c>
      <c r="AM7" s="7" t="str">
        <f t="shared" si="5"/>
        <v>gsen:Subaerial_Setting, gsen:Lacustrine_Setting</v>
      </c>
      <c r="AN7" s="7" t="s">
        <v>659</v>
      </c>
      <c r="AO7" s="7" t="s">
        <v>1266</v>
      </c>
    </row>
    <row r="8" spans="1:41" ht="45" x14ac:dyDescent="0.25">
      <c r="A8" s="7" t="s">
        <v>676</v>
      </c>
      <c r="B8" s="7" t="s">
        <v>1046</v>
      </c>
      <c r="C8" s="7" t="str">
        <f t="shared" si="6"/>
        <v>iwh:strat-HEHI</v>
      </c>
      <c r="D8" s="7" t="s">
        <v>1129</v>
      </c>
      <c r="E8" s="7" t="str">
        <f t="shared" si="0"/>
        <v>iwh:strat-SOLT</v>
      </c>
      <c r="F8" s="7" t="s">
        <v>463</v>
      </c>
      <c r="G8" s="7" t="s">
        <v>464</v>
      </c>
      <c r="H8" s="7" t="s">
        <v>474</v>
      </c>
      <c r="I8" s="7" t="s">
        <v>490</v>
      </c>
      <c r="N8" s="15" t="s">
        <v>1261</v>
      </c>
      <c r="P8" s="7" t="s">
        <v>1120</v>
      </c>
      <c r="Q8" s="7" t="s">
        <v>1278</v>
      </c>
      <c r="R8" s="7" t="s">
        <v>1109</v>
      </c>
      <c r="S8" s="7" t="s">
        <v>1303</v>
      </c>
      <c r="T8" s="7" t="s">
        <v>1331</v>
      </c>
      <c r="U8" s="7" t="s">
        <v>483</v>
      </c>
      <c r="V8" s="7" t="str">
        <f t="shared" si="1"/>
        <v>iwh:strat-BECS</v>
      </c>
      <c r="W8" s="7" t="s">
        <v>434</v>
      </c>
      <c r="X8" s="7" t="str">
        <f t="shared" si="2"/>
        <v>gspr:Deposition</v>
      </c>
      <c r="Y8" s="7" t="str">
        <f t="shared" si="8"/>
        <v>gscn:Conformable_Contact</v>
      </c>
      <c r="Z8" s="7" t="s">
        <v>450</v>
      </c>
      <c r="AA8" s="7" t="str">
        <f t="shared" si="3"/>
        <v>gslth:Generic_Mudstone</v>
      </c>
      <c r="AB8" s="7" t="s">
        <v>400</v>
      </c>
      <c r="AC8" s="7" t="s">
        <v>445</v>
      </c>
      <c r="AD8" s="7" t="str">
        <f t="shared" si="4"/>
        <v>gslth:Arenite</v>
      </c>
      <c r="AE8" s="7" t="s">
        <v>407</v>
      </c>
      <c r="AH8" s="7" t="s">
        <v>505</v>
      </c>
      <c r="AI8" s="7">
        <v>0</v>
      </c>
      <c r="AJ8" s="7">
        <v>90</v>
      </c>
      <c r="AK8" s="7" t="s">
        <v>1116</v>
      </c>
      <c r="AL8" s="7" t="s">
        <v>954</v>
      </c>
      <c r="AM8" s="7" t="str">
        <f t="shared" si="5"/>
        <v>gsen:Lacustrine_Setting, gsen:River_Plain_System_Setting, gsen:Marine_Setting</v>
      </c>
      <c r="AN8" s="7" t="s">
        <v>662</v>
      </c>
      <c r="AO8" s="7" t="s">
        <v>1266</v>
      </c>
    </row>
    <row r="9" spans="1:41" ht="60" x14ac:dyDescent="0.25">
      <c r="A9" s="7" t="s">
        <v>676</v>
      </c>
      <c r="B9" s="7" t="s">
        <v>1047</v>
      </c>
      <c r="C9" s="7" t="str">
        <f t="shared" si="6"/>
        <v>iwh:strat-SEAB</v>
      </c>
      <c r="D9" s="7" t="s">
        <v>1130</v>
      </c>
      <c r="E9" s="7" t="str">
        <f t="shared" si="0"/>
        <v>iwh:strat-HEHI</v>
      </c>
      <c r="F9" s="7" t="s">
        <v>463</v>
      </c>
      <c r="G9" s="7" t="s">
        <v>464</v>
      </c>
      <c r="H9" s="7" t="s">
        <v>474</v>
      </c>
      <c r="I9" s="7" t="s">
        <v>490</v>
      </c>
      <c r="J9" s="7" t="s">
        <v>500</v>
      </c>
      <c r="K9" s="7" t="s">
        <v>501</v>
      </c>
      <c r="N9" s="15" t="s">
        <v>1261</v>
      </c>
      <c r="P9" s="7" t="s">
        <v>1120</v>
      </c>
      <c r="Q9" s="7" t="s">
        <v>1279</v>
      </c>
      <c r="R9" s="7" t="s">
        <v>1104</v>
      </c>
      <c r="S9" s="7" t="s">
        <v>1303</v>
      </c>
      <c r="T9" s="7" t="s">
        <v>1331</v>
      </c>
      <c r="U9" s="7" t="s">
        <v>475</v>
      </c>
      <c r="V9" s="7" t="str">
        <f t="shared" si="1"/>
        <v>iwh:strat-OSB</v>
      </c>
      <c r="W9" s="7" t="s">
        <v>434</v>
      </c>
      <c r="X9" s="7" t="str">
        <f t="shared" si="2"/>
        <v>gspr:Deposition</v>
      </c>
      <c r="Y9" s="7" t="str">
        <f t="shared" si="8"/>
        <v>gscn:Conformable_Contact</v>
      </c>
      <c r="Z9" s="7" t="s">
        <v>451</v>
      </c>
      <c r="AA9" s="7" t="str">
        <f t="shared" si="3"/>
        <v>gslth:Generic_Mudstone</v>
      </c>
      <c r="AB9" s="7" t="s">
        <v>401</v>
      </c>
      <c r="AD9" s="7" t="str">
        <f t="shared" si="4"/>
        <v/>
      </c>
      <c r="AH9" s="7" t="s">
        <v>506</v>
      </c>
      <c r="AI9" s="7">
        <v>0</v>
      </c>
      <c r="AJ9" s="7">
        <v>9.5</v>
      </c>
      <c r="AK9" s="7" t="s">
        <v>1116</v>
      </c>
      <c r="AL9" s="7" t="s">
        <v>953</v>
      </c>
      <c r="AM9" s="7" t="str">
        <f t="shared" si="5"/>
        <v>gsen:River_Plain_System_Setting</v>
      </c>
      <c r="AN9" s="7" t="s">
        <v>660</v>
      </c>
      <c r="AO9" s="7" t="s">
        <v>1266</v>
      </c>
    </row>
    <row r="10" spans="1:41" ht="60" x14ac:dyDescent="0.25">
      <c r="A10" s="7" t="s">
        <v>676</v>
      </c>
      <c r="B10" s="7" t="s">
        <v>1047</v>
      </c>
      <c r="C10" s="7" t="str">
        <f t="shared" si="6"/>
        <v>iwh:strat-OSB</v>
      </c>
      <c r="D10" s="7" t="s">
        <v>1131</v>
      </c>
      <c r="E10" s="7" t="str">
        <f t="shared" si="0"/>
        <v>iwh:strat-HEHI</v>
      </c>
      <c r="F10" s="7" t="s">
        <v>463</v>
      </c>
      <c r="G10" s="7" t="s">
        <v>464</v>
      </c>
      <c r="H10" s="7" t="s">
        <v>474</v>
      </c>
      <c r="I10" s="7" t="s">
        <v>490</v>
      </c>
      <c r="J10" s="7" t="s">
        <v>475</v>
      </c>
      <c r="K10" s="7" t="s">
        <v>494</v>
      </c>
      <c r="N10" s="15" t="s">
        <v>1261</v>
      </c>
      <c r="P10" s="7" t="s">
        <v>1120</v>
      </c>
      <c r="Q10" s="7" t="s">
        <v>1280</v>
      </c>
      <c r="R10" s="7" t="s">
        <v>1105</v>
      </c>
      <c r="S10" s="7" t="s">
        <v>1304</v>
      </c>
      <c r="T10" s="7" t="str">
        <f t="shared" ref="T10:T12" si="9">X10</f>
        <v>gspr:Deposition</v>
      </c>
      <c r="U10" s="7" t="s">
        <v>476</v>
      </c>
      <c r="V10" s="7" t="str">
        <f t="shared" si="1"/>
        <v>iwh:strat-FISH</v>
      </c>
      <c r="W10" s="7" t="s">
        <v>434</v>
      </c>
      <c r="X10" s="7" t="str">
        <f t="shared" si="2"/>
        <v>gspr:Deposition</v>
      </c>
      <c r="Y10" s="7" t="str">
        <f t="shared" si="8"/>
        <v>gscn:Conformable_Contact</v>
      </c>
      <c r="Z10" s="7" t="s">
        <v>451</v>
      </c>
      <c r="AA10" s="7" t="str">
        <f t="shared" si="3"/>
        <v>gslth:Generic_Mudstone</v>
      </c>
      <c r="AB10" s="7" t="s">
        <v>401</v>
      </c>
      <c r="AD10" s="7" t="str">
        <f t="shared" si="4"/>
        <v/>
      </c>
      <c r="AI10" s="7">
        <v>0</v>
      </c>
      <c r="AJ10" s="7">
        <v>10.7</v>
      </c>
      <c r="AK10" s="7" t="s">
        <v>1116</v>
      </c>
      <c r="AL10" s="7" t="s">
        <v>952</v>
      </c>
      <c r="AM10" s="7" t="str">
        <f t="shared" si="5"/>
        <v>gsen:Swamp_Or_Marsh_Setting</v>
      </c>
      <c r="AN10" s="7" t="s">
        <v>658</v>
      </c>
      <c r="AO10" s="7" t="s">
        <v>1266</v>
      </c>
    </row>
    <row r="11" spans="1:41" ht="60" x14ac:dyDescent="0.25">
      <c r="A11" s="7" t="s">
        <v>676</v>
      </c>
      <c r="B11" s="7" t="s">
        <v>1047</v>
      </c>
      <c r="C11" s="7" t="str">
        <f t="shared" si="6"/>
        <v>iwh:strat-FISH</v>
      </c>
      <c r="D11" s="7" t="s">
        <v>1132</v>
      </c>
      <c r="E11" s="7" t="str">
        <f t="shared" si="0"/>
        <v>iwh:strat-HEHI</v>
      </c>
      <c r="F11" s="7" t="s">
        <v>463</v>
      </c>
      <c r="G11" s="7" t="s">
        <v>464</v>
      </c>
      <c r="H11" s="7" t="s">
        <v>474</v>
      </c>
      <c r="I11" s="7" t="s">
        <v>490</v>
      </c>
      <c r="J11" s="7" t="s">
        <v>476</v>
      </c>
      <c r="K11" s="7" t="s">
        <v>495</v>
      </c>
      <c r="N11" s="15" t="s">
        <v>1261</v>
      </c>
      <c r="P11" s="7" t="s">
        <v>1120</v>
      </c>
      <c r="Q11" s="7" t="s">
        <v>1281</v>
      </c>
      <c r="R11" s="7" t="s">
        <v>1106</v>
      </c>
      <c r="S11" s="7" t="s">
        <v>1305</v>
      </c>
      <c r="T11" s="7" t="str">
        <f t="shared" si="9"/>
        <v>gspr:Deposition</v>
      </c>
      <c r="U11" s="7" t="s">
        <v>477</v>
      </c>
      <c r="V11" s="7" t="str">
        <f t="shared" si="1"/>
        <v>iwh:strat-LAFM</v>
      </c>
      <c r="W11" s="7" t="s">
        <v>434</v>
      </c>
      <c r="X11" s="7" t="str">
        <f t="shared" si="2"/>
        <v>gspr:Deposition</v>
      </c>
      <c r="Y11" s="7" t="str">
        <f t="shared" si="8"/>
        <v>gscn:Conformable_Contact</v>
      </c>
      <c r="Z11" s="7" t="s">
        <v>451</v>
      </c>
      <c r="AA11" s="7" t="str">
        <f t="shared" si="3"/>
        <v>gslth:Generic_Mudstone</v>
      </c>
      <c r="AB11" s="7" t="s">
        <v>401</v>
      </c>
      <c r="AD11" s="7" t="str">
        <f t="shared" si="4"/>
        <v/>
      </c>
      <c r="AH11" s="7" t="s">
        <v>481</v>
      </c>
      <c r="AI11" s="7">
        <v>0</v>
      </c>
      <c r="AJ11" s="7">
        <v>10.7</v>
      </c>
      <c r="AK11" s="7" t="s">
        <v>1116</v>
      </c>
      <c r="AL11" s="7" t="s">
        <v>952</v>
      </c>
      <c r="AM11" s="7" t="str">
        <f t="shared" si="5"/>
        <v>gsen:Swamp_Or_Marsh_Setting</v>
      </c>
      <c r="AN11" s="7" t="s">
        <v>658</v>
      </c>
      <c r="AO11" s="7" t="s">
        <v>1266</v>
      </c>
    </row>
    <row r="12" spans="1:41" ht="60" x14ac:dyDescent="0.25">
      <c r="A12" s="7" t="s">
        <v>676</v>
      </c>
      <c r="B12" s="7" t="s">
        <v>1047</v>
      </c>
      <c r="C12" s="7" t="str">
        <f t="shared" si="6"/>
        <v>iwh:strat-LAFM</v>
      </c>
      <c r="D12" s="7" t="s">
        <v>1133</v>
      </c>
      <c r="E12" s="7" t="str">
        <f t="shared" si="0"/>
        <v>iwh:strat-HEHI</v>
      </c>
      <c r="F12" s="7" t="s">
        <v>463</v>
      </c>
      <c r="G12" s="7" t="s">
        <v>464</v>
      </c>
      <c r="H12" s="7" t="s">
        <v>474</v>
      </c>
      <c r="I12" s="7" t="s">
        <v>490</v>
      </c>
      <c r="J12" s="7" t="s">
        <v>477</v>
      </c>
      <c r="K12" s="7" t="s">
        <v>496</v>
      </c>
      <c r="N12" s="15" t="s">
        <v>1261</v>
      </c>
      <c r="P12" s="7" t="s">
        <v>1120</v>
      </c>
      <c r="Q12" s="7" t="s">
        <v>1282</v>
      </c>
      <c r="R12" s="7" t="s">
        <v>1317</v>
      </c>
      <c r="S12" s="7" t="s">
        <v>1318</v>
      </c>
      <c r="T12" s="7" t="str">
        <f t="shared" si="9"/>
        <v>gspr:Deposition</v>
      </c>
      <c r="U12" s="7" t="s">
        <v>479</v>
      </c>
      <c r="V12" s="7" t="str">
        <f t="shared" si="1"/>
        <v>iwh:strat-CLEN</v>
      </c>
      <c r="W12" s="7" t="s">
        <v>434</v>
      </c>
      <c r="X12" s="7" t="str">
        <f t="shared" si="2"/>
        <v>gspr:Deposition</v>
      </c>
      <c r="Y12" s="7" t="str">
        <f t="shared" si="8"/>
        <v>gscn:Conformable_Contact</v>
      </c>
      <c r="Z12" s="7" t="s">
        <v>451</v>
      </c>
      <c r="AA12" s="7" t="str">
        <f t="shared" si="3"/>
        <v>gslth:Generic_Mudstone</v>
      </c>
      <c r="AB12" s="7" t="s">
        <v>401</v>
      </c>
      <c r="AC12" s="7" t="s">
        <v>437</v>
      </c>
      <c r="AD12" s="7" t="str">
        <f t="shared" si="4"/>
        <v>gslth:Limestone</v>
      </c>
      <c r="AE12" s="7" t="s">
        <v>409</v>
      </c>
      <c r="AI12" s="7">
        <v>0</v>
      </c>
      <c r="AJ12" s="7">
        <v>6.7</v>
      </c>
      <c r="AK12" s="7" t="s">
        <v>1116</v>
      </c>
      <c r="AL12" s="7" t="s">
        <v>951</v>
      </c>
      <c r="AM12" s="7" t="str">
        <f t="shared" si="5"/>
        <v>gsen:Lacustrine_Setting</v>
      </c>
      <c r="AN12" s="7" t="s">
        <v>661</v>
      </c>
      <c r="AO12" s="7" t="s">
        <v>1266</v>
      </c>
    </row>
    <row r="13" spans="1:41" ht="60" x14ac:dyDescent="0.25">
      <c r="A13" s="7" t="s">
        <v>676</v>
      </c>
      <c r="B13" s="7" t="s">
        <v>1047</v>
      </c>
      <c r="C13" s="7" t="str">
        <f t="shared" si="6"/>
        <v>iwh:strat-CLEN</v>
      </c>
      <c r="D13" s="7" t="s">
        <v>1134</v>
      </c>
      <c r="E13" s="7" t="str">
        <f t="shared" si="0"/>
        <v>iwh:strat-HEHI</v>
      </c>
      <c r="F13" s="7" t="s">
        <v>463</v>
      </c>
      <c r="G13" s="7" t="s">
        <v>464</v>
      </c>
      <c r="H13" s="7" t="s">
        <v>474</v>
      </c>
      <c r="I13" s="7" t="s">
        <v>490</v>
      </c>
      <c r="J13" s="7" t="s">
        <v>479</v>
      </c>
      <c r="K13" s="7" t="s">
        <v>497</v>
      </c>
      <c r="N13" s="15" t="s">
        <v>1261</v>
      </c>
      <c r="P13" s="7" t="s">
        <v>1120</v>
      </c>
      <c r="Q13" s="7" t="s">
        <v>1283</v>
      </c>
      <c r="R13" s="7" t="s">
        <v>1107</v>
      </c>
      <c r="S13" s="7" t="s">
        <v>1306</v>
      </c>
      <c r="T13" s="7" t="s">
        <v>1050</v>
      </c>
      <c r="U13" s="7" t="s">
        <v>1065</v>
      </c>
      <c r="V13" s="7" t="str">
        <f t="shared" si="1"/>
        <v>iwh:strat-CB</v>
      </c>
      <c r="W13" s="7" t="s">
        <v>702</v>
      </c>
      <c r="X13" s="7" t="s">
        <v>1050</v>
      </c>
      <c r="Y13" s="7" t="str">
        <f t="shared" si="8"/>
        <v>gscn:Unconformable_Contact</v>
      </c>
      <c r="Z13" s="7" t="s">
        <v>451</v>
      </c>
      <c r="AA13" s="7" t="str">
        <f t="shared" si="3"/>
        <v>gslth:Generic_Mudstone</v>
      </c>
      <c r="AB13" s="7" t="s">
        <v>401</v>
      </c>
      <c r="AD13" s="7" t="str">
        <f t="shared" si="4"/>
        <v/>
      </c>
      <c r="AH13" s="7" t="s">
        <v>470</v>
      </c>
      <c r="AI13" s="7">
        <v>0</v>
      </c>
      <c r="AJ13" s="7">
        <v>15</v>
      </c>
      <c r="AK13" s="7" t="s">
        <v>1116</v>
      </c>
      <c r="AL13" s="7" t="s">
        <v>950</v>
      </c>
      <c r="AM13" s="7" t="str">
        <f t="shared" si="5"/>
        <v>gsen:Swamp_Or_Marsh_Setting</v>
      </c>
      <c r="AN13" s="7" t="s">
        <v>658</v>
      </c>
      <c r="AO13" s="7" t="s">
        <v>1266</v>
      </c>
    </row>
    <row r="14" spans="1:41" ht="60" x14ac:dyDescent="0.25">
      <c r="A14" s="7" t="s">
        <v>676</v>
      </c>
      <c r="B14" s="7" t="s">
        <v>1047</v>
      </c>
      <c r="C14" s="7" t="str">
        <f t="shared" si="6"/>
        <v>iwh:strat-COLW</v>
      </c>
      <c r="D14" s="7" t="s">
        <v>1135</v>
      </c>
      <c r="E14" s="7" t="str">
        <f t="shared" si="0"/>
        <v>iwh:strat-HEHI</v>
      </c>
      <c r="F14" s="7" t="s">
        <v>463</v>
      </c>
      <c r="G14" s="7" t="s">
        <v>464</v>
      </c>
      <c r="H14" s="7" t="s">
        <v>474</v>
      </c>
      <c r="I14" s="7" t="s">
        <v>490</v>
      </c>
      <c r="J14" s="7" t="s">
        <v>480</v>
      </c>
      <c r="K14" s="7" t="s">
        <v>498</v>
      </c>
      <c r="N14" s="15" t="s">
        <v>1261</v>
      </c>
      <c r="P14" s="7" t="s">
        <v>1120</v>
      </c>
      <c r="Q14" s="7" t="s">
        <v>1284</v>
      </c>
      <c r="R14" s="7" t="s">
        <v>1108</v>
      </c>
      <c r="S14" s="7" t="s">
        <v>1307</v>
      </c>
      <c r="T14" s="7" t="s">
        <v>1331</v>
      </c>
      <c r="U14" s="7" t="s">
        <v>482</v>
      </c>
      <c r="V14" s="7" t="str">
        <f t="shared" si="1"/>
        <v>iwh:strat-TOTB</v>
      </c>
      <c r="W14" s="7" t="s">
        <v>753</v>
      </c>
      <c r="X14" s="7" t="str">
        <f t="shared" si="2"/>
        <v>gspr:Deposition</v>
      </c>
      <c r="Y14" s="7" t="str">
        <f t="shared" si="8"/>
        <v>gscn:Paraconformable_Contact</v>
      </c>
      <c r="Z14" s="7" t="s">
        <v>451</v>
      </c>
      <c r="AA14" s="7" t="str">
        <f t="shared" si="3"/>
        <v>gslth:Generic_Mudstone</v>
      </c>
      <c r="AB14" s="7" t="s">
        <v>401</v>
      </c>
      <c r="AC14" s="7" t="s">
        <v>445</v>
      </c>
      <c r="AD14" s="7" t="str">
        <f t="shared" si="4"/>
        <v>gslth:Arenite</v>
      </c>
      <c r="AE14" s="7" t="s">
        <v>407</v>
      </c>
      <c r="AH14" s="7" t="s">
        <v>470</v>
      </c>
      <c r="AI14" s="7">
        <v>0</v>
      </c>
      <c r="AJ14" s="7">
        <v>30</v>
      </c>
      <c r="AK14" s="7" t="s">
        <v>1116</v>
      </c>
      <c r="AL14" s="7" t="s">
        <v>949</v>
      </c>
      <c r="AM14" s="7" t="str">
        <f t="shared" si="5"/>
        <v>gsen:Marine_Setting</v>
      </c>
      <c r="AN14" s="7" t="s">
        <v>657</v>
      </c>
      <c r="AO14" s="7" t="s">
        <v>1266</v>
      </c>
    </row>
    <row r="15" spans="1:41" ht="60" x14ac:dyDescent="0.25">
      <c r="A15" s="7" t="s">
        <v>676</v>
      </c>
      <c r="B15" s="7" t="s">
        <v>1047</v>
      </c>
      <c r="C15" s="7" t="str">
        <f t="shared" si="6"/>
        <v>iwh:strat-TOTB</v>
      </c>
      <c r="D15" s="7" t="s">
        <v>1136</v>
      </c>
      <c r="E15" s="7" t="str">
        <f t="shared" si="0"/>
        <v>iwh:strat-HEHI</v>
      </c>
      <c r="F15" s="7" t="s">
        <v>463</v>
      </c>
      <c r="G15" s="7" t="s">
        <v>464</v>
      </c>
      <c r="H15" s="7" t="s">
        <v>474</v>
      </c>
      <c r="I15" s="7" t="s">
        <v>490</v>
      </c>
      <c r="J15" s="7" t="s">
        <v>482</v>
      </c>
      <c r="K15" s="7" t="s">
        <v>499</v>
      </c>
      <c r="N15" s="15" t="s">
        <v>1261</v>
      </c>
      <c r="P15" s="7" t="s">
        <v>1120</v>
      </c>
      <c r="Q15" s="7" t="s">
        <v>1285</v>
      </c>
      <c r="R15" s="7" t="s">
        <v>1099</v>
      </c>
      <c r="S15" s="7" t="s">
        <v>1319</v>
      </c>
      <c r="T15" s="7" t="s">
        <v>1332</v>
      </c>
      <c r="U15" s="7" t="s">
        <v>483</v>
      </c>
      <c r="V15" s="7" t="str">
        <f t="shared" si="1"/>
        <v>iwh:strat-BECS</v>
      </c>
      <c r="W15" s="7" t="s">
        <v>434</v>
      </c>
      <c r="X15" s="7" t="str">
        <f t="shared" si="2"/>
        <v>gspr:Deposition</v>
      </c>
      <c r="Y15" s="7" t="str">
        <f t="shared" si="8"/>
        <v>gscn:Conformable_Contact</v>
      </c>
      <c r="Z15" s="7" t="s">
        <v>451</v>
      </c>
      <c r="AA15" s="7" t="str">
        <f t="shared" si="3"/>
        <v>gslth:Generic_Mudstone</v>
      </c>
      <c r="AB15" s="7" t="s">
        <v>401</v>
      </c>
      <c r="AC15" s="7" t="s">
        <v>445</v>
      </c>
      <c r="AD15" s="7" t="str">
        <f t="shared" si="4"/>
        <v>gslth:Arenite</v>
      </c>
      <c r="AE15" s="7" t="s">
        <v>407</v>
      </c>
      <c r="AH15" s="7" t="s">
        <v>507</v>
      </c>
      <c r="AI15" s="7">
        <v>0</v>
      </c>
      <c r="AJ15" s="7">
        <v>8</v>
      </c>
      <c r="AK15" s="7" t="s">
        <v>1116</v>
      </c>
      <c r="AL15" s="7" t="s">
        <v>948</v>
      </c>
      <c r="AM15" s="7" t="str">
        <f t="shared" si="5"/>
        <v>gsen:Lacustrine_Setting, gsen:River_Plain_System_Setting</v>
      </c>
      <c r="AN15" s="7" t="s">
        <v>656</v>
      </c>
      <c r="AO15" s="7" t="s">
        <v>1266</v>
      </c>
    </row>
    <row r="16" spans="1:41" ht="45" x14ac:dyDescent="0.25">
      <c r="A16" s="7" t="s">
        <v>676</v>
      </c>
      <c r="B16" s="7" t="s">
        <v>1048</v>
      </c>
      <c r="C16" s="7" t="str">
        <f t="shared" si="6"/>
        <v>iwh:strat-BA</v>
      </c>
      <c r="D16" s="7" t="s">
        <v>1137</v>
      </c>
      <c r="E16" s="7" t="str">
        <f t="shared" si="0"/>
        <v/>
      </c>
      <c r="F16" s="7" t="s">
        <v>486</v>
      </c>
      <c r="G16" s="7" t="s">
        <v>488</v>
      </c>
      <c r="N16" s="15" t="s">
        <v>1263</v>
      </c>
      <c r="P16" s="7" t="s">
        <v>1120</v>
      </c>
      <c r="Q16" s="7" t="s">
        <v>1286</v>
      </c>
      <c r="R16" s="7" t="s">
        <v>1098</v>
      </c>
      <c r="S16" s="7" t="s">
        <v>1308</v>
      </c>
      <c r="T16" s="7" t="s">
        <v>1050</v>
      </c>
      <c r="U16" s="8" t="s">
        <v>517</v>
      </c>
      <c r="V16" s="7" t="str">
        <f t="shared" si="1"/>
        <v>iwh:strat-BRB</v>
      </c>
      <c r="W16" s="7" t="s">
        <v>436</v>
      </c>
      <c r="X16" s="7" t="str">
        <f t="shared" si="2"/>
        <v>gspr:Deposition</v>
      </c>
      <c r="Y16" s="7" t="str">
        <f t="shared" si="8"/>
        <v>gscn:Unconformable_Contact</v>
      </c>
      <c r="Z16" s="7" t="s">
        <v>449</v>
      </c>
      <c r="AA16" s="7" t="str">
        <f t="shared" si="3"/>
        <v>gslth:Generic_Mudstone</v>
      </c>
      <c r="AB16" s="7" t="s">
        <v>402</v>
      </c>
      <c r="AC16" s="7" t="s">
        <v>451</v>
      </c>
      <c r="AD16" s="7" t="str">
        <f t="shared" si="4"/>
        <v>gslth:Generic_Mudstone</v>
      </c>
      <c r="AE16" s="7" t="s">
        <v>401</v>
      </c>
      <c r="AH16" s="7" t="s">
        <v>487</v>
      </c>
      <c r="AI16" s="7">
        <v>33.799999999999997</v>
      </c>
      <c r="AK16" s="7" t="s">
        <v>1117</v>
      </c>
      <c r="AL16" s="7" t="s">
        <v>947</v>
      </c>
      <c r="AM16" s="7" t="str">
        <f t="shared" si="5"/>
        <v>gsen:Shoreline_Setting, gsen:Inner_Neritic_Setting, gsen:Middle_Neritic_Setting</v>
      </c>
      <c r="AN16" s="7" t="s">
        <v>654</v>
      </c>
      <c r="AO16" s="7" t="s">
        <v>1266</v>
      </c>
    </row>
    <row r="17" spans="1:41" ht="45" x14ac:dyDescent="0.25">
      <c r="A17" s="7" t="s">
        <v>676</v>
      </c>
      <c r="B17" s="7" t="s">
        <v>1046</v>
      </c>
      <c r="C17" s="7" t="str">
        <f t="shared" si="6"/>
        <v>iwh:strat-BECS</v>
      </c>
      <c r="D17" s="7" t="s">
        <v>1138</v>
      </c>
      <c r="E17" s="7" t="str">
        <f t="shared" si="0"/>
        <v>iwh:strat-BA</v>
      </c>
      <c r="F17" s="7" t="s">
        <v>486</v>
      </c>
      <c r="G17" s="7" t="s">
        <v>488</v>
      </c>
      <c r="H17" s="7" t="s">
        <v>483</v>
      </c>
      <c r="I17" s="7" t="s">
        <v>511</v>
      </c>
      <c r="N17" s="15" t="s">
        <v>1263</v>
      </c>
      <c r="P17" s="7" t="s">
        <v>1123</v>
      </c>
      <c r="Q17" s="7" t="s">
        <v>1287</v>
      </c>
      <c r="R17" s="7" t="s">
        <v>1094</v>
      </c>
      <c r="S17" s="7" t="s">
        <v>1308</v>
      </c>
      <c r="T17" s="7" t="s">
        <v>1050</v>
      </c>
      <c r="U17" s="7" t="s">
        <v>484</v>
      </c>
      <c r="V17" s="7" t="str">
        <f t="shared" si="1"/>
        <v>iwh:strat-CHMS</v>
      </c>
      <c r="W17" s="7" t="s">
        <v>434</v>
      </c>
      <c r="X17" s="7" t="str">
        <f t="shared" si="2"/>
        <v>gspr:Deposition</v>
      </c>
      <c r="Y17" s="7" t="str">
        <f t="shared" si="8"/>
        <v>gscn:Conformable_Contact</v>
      </c>
      <c r="Z17" s="7" t="s">
        <v>443</v>
      </c>
      <c r="AA17" s="7" t="str">
        <f t="shared" si="3"/>
        <v>gslth:Arenite</v>
      </c>
      <c r="AB17" s="7" t="s">
        <v>405</v>
      </c>
      <c r="AC17" s="7" t="s">
        <v>451</v>
      </c>
      <c r="AD17" s="7" t="str">
        <f t="shared" si="4"/>
        <v>gslth:Generic_Mudstone</v>
      </c>
      <c r="AE17" s="7" t="s">
        <v>401</v>
      </c>
      <c r="AH17" s="7" t="s">
        <v>508</v>
      </c>
      <c r="AI17" s="7">
        <v>0</v>
      </c>
      <c r="AJ17" s="7">
        <v>64</v>
      </c>
      <c r="AK17" s="7" t="s">
        <v>1116</v>
      </c>
      <c r="AL17" s="7" t="s">
        <v>946</v>
      </c>
      <c r="AM17" s="7" t="str">
        <f t="shared" si="5"/>
        <v xml:space="preserve">gsen:Shoreline_Setting, gsen:Inner_Neritic_Setting </v>
      </c>
      <c r="AN17" s="7" t="s">
        <v>653</v>
      </c>
      <c r="AO17" s="7" t="s">
        <v>1266</v>
      </c>
    </row>
    <row r="18" spans="1:41" ht="45" x14ac:dyDescent="0.25">
      <c r="A18" s="7" t="s">
        <v>676</v>
      </c>
      <c r="B18" s="7" t="s">
        <v>1046</v>
      </c>
      <c r="C18" s="7" t="str">
        <f t="shared" si="6"/>
        <v>iwh:strat-CHMS</v>
      </c>
      <c r="D18" s="7" t="s">
        <v>1139</v>
      </c>
      <c r="E18" s="7" t="str">
        <f t="shared" si="0"/>
        <v>iwh:strat-BA</v>
      </c>
      <c r="F18" s="7" t="s">
        <v>486</v>
      </c>
      <c r="G18" s="7" t="s">
        <v>488</v>
      </c>
      <c r="H18" s="7" t="s">
        <v>484</v>
      </c>
      <c r="I18" s="7" t="s">
        <v>512</v>
      </c>
      <c r="N18" s="15" t="s">
        <v>1263</v>
      </c>
      <c r="P18" s="7" t="s">
        <v>1123</v>
      </c>
      <c r="Q18" s="7" t="s">
        <v>1288</v>
      </c>
      <c r="R18" s="7" t="s">
        <v>1095</v>
      </c>
      <c r="S18" s="7" t="s">
        <v>1309</v>
      </c>
      <c r="T18" s="7" t="s">
        <v>1050</v>
      </c>
      <c r="U18" s="7" t="s">
        <v>485</v>
      </c>
      <c r="V18" s="7" t="str">
        <f t="shared" si="1"/>
        <v>iwh:strat-BAC</v>
      </c>
      <c r="W18" s="7" t="s">
        <v>434</v>
      </c>
      <c r="X18" s="7" t="str">
        <f t="shared" si="2"/>
        <v>gspr:Deposition</v>
      </c>
      <c r="Y18" s="7" t="str">
        <f t="shared" si="8"/>
        <v>gscn:Conformable_Contact</v>
      </c>
      <c r="Z18" s="7" t="s">
        <v>445</v>
      </c>
      <c r="AA18" s="7" t="str">
        <f t="shared" si="3"/>
        <v>gslth:Arenite</v>
      </c>
      <c r="AB18" s="7" t="s">
        <v>407</v>
      </c>
      <c r="AD18" s="7" t="str">
        <f t="shared" si="4"/>
        <v/>
      </c>
      <c r="AH18" s="7" t="s">
        <v>509</v>
      </c>
      <c r="AI18" s="7">
        <v>15</v>
      </c>
      <c r="AK18" s="7" t="s">
        <v>1116</v>
      </c>
      <c r="AL18" s="7" t="s">
        <v>945</v>
      </c>
      <c r="AM18" s="7" t="str">
        <f t="shared" si="5"/>
        <v xml:space="preserve">gsen:Shoreline_Setting, gsen:Inner_Neritic_Setting </v>
      </c>
      <c r="AN18" s="7" t="s">
        <v>653</v>
      </c>
      <c r="AO18" s="7" t="s">
        <v>1266</v>
      </c>
    </row>
    <row r="19" spans="1:41" ht="45" x14ac:dyDescent="0.25">
      <c r="A19" s="7" t="s">
        <v>676</v>
      </c>
      <c r="B19" s="7" t="s">
        <v>1046</v>
      </c>
      <c r="C19" s="7" t="str">
        <f t="shared" si="6"/>
        <v>iwh:strat-BAC</v>
      </c>
      <c r="D19" s="7" t="s">
        <v>1140</v>
      </c>
      <c r="E19" s="7" t="str">
        <f t="shared" si="0"/>
        <v>iwh:strat-BA</v>
      </c>
      <c r="F19" s="7" t="s">
        <v>486</v>
      </c>
      <c r="G19" s="7" t="s">
        <v>488</v>
      </c>
      <c r="H19" s="7" t="s">
        <v>485</v>
      </c>
      <c r="I19" s="7" t="s">
        <v>513</v>
      </c>
      <c r="N19" s="15" t="s">
        <v>1263</v>
      </c>
      <c r="P19" s="7" t="s">
        <v>1123</v>
      </c>
      <c r="Q19" s="7" t="s">
        <v>1289</v>
      </c>
      <c r="R19" s="7" t="s">
        <v>1098</v>
      </c>
      <c r="S19" s="7" t="s">
        <v>1320</v>
      </c>
      <c r="T19" s="7" t="s">
        <v>1050</v>
      </c>
      <c r="U19" s="7" t="s">
        <v>514</v>
      </c>
      <c r="V19" s="7" t="str">
        <f t="shared" si="1"/>
        <v>iwh:strat-SLSY</v>
      </c>
      <c r="W19" s="7" t="s">
        <v>436</v>
      </c>
      <c r="X19" s="7" t="str">
        <f t="shared" si="2"/>
        <v>gspr:Deposition</v>
      </c>
      <c r="Y19" s="7" t="str">
        <f t="shared" si="8"/>
        <v>gscn:Unconformable_Contact</v>
      </c>
      <c r="Z19" s="7" t="s">
        <v>451</v>
      </c>
      <c r="AA19" s="7" t="str">
        <f t="shared" si="3"/>
        <v>gslth:Generic_Mudstone</v>
      </c>
      <c r="AB19" s="7" t="s">
        <v>401</v>
      </c>
      <c r="AD19" s="7" t="str">
        <f t="shared" si="4"/>
        <v/>
      </c>
      <c r="AE19" s="7" t="s">
        <v>401</v>
      </c>
      <c r="AH19" s="7" t="s">
        <v>510</v>
      </c>
      <c r="AI19" s="7">
        <v>45</v>
      </c>
      <c r="AK19" s="7" t="s">
        <v>1116</v>
      </c>
      <c r="AL19" s="7" t="s">
        <v>944</v>
      </c>
      <c r="AM19" s="7" t="str">
        <f t="shared" si="5"/>
        <v>gsen:Inner_Neritic_Setting, gsen:Middle_Neritic_Setting</v>
      </c>
      <c r="AN19" s="7" t="s">
        <v>652</v>
      </c>
      <c r="AO19" s="7" t="s">
        <v>1266</v>
      </c>
    </row>
    <row r="20" spans="1:41" s="8" customFormat="1" ht="30" x14ac:dyDescent="0.25">
      <c r="A20" s="7" t="s">
        <v>676</v>
      </c>
      <c r="B20" s="7" t="s">
        <v>1048</v>
      </c>
      <c r="C20" s="7" t="str">
        <f t="shared" si="6"/>
        <v>iwh:strat-BRB</v>
      </c>
      <c r="D20" s="7" t="s">
        <v>1141</v>
      </c>
      <c r="E20" s="7" t="str">
        <f t="shared" si="0"/>
        <v/>
      </c>
      <c r="F20" s="8" t="s">
        <v>517</v>
      </c>
      <c r="G20" s="8" t="s">
        <v>523</v>
      </c>
      <c r="N20" s="8" t="s">
        <v>1121</v>
      </c>
      <c r="O20" s="8" t="s">
        <v>1122</v>
      </c>
      <c r="P20" s="7" t="s">
        <v>1123</v>
      </c>
      <c r="Q20" s="7" t="s">
        <v>1290</v>
      </c>
      <c r="R20" s="8" t="s">
        <v>1093</v>
      </c>
      <c r="S20" s="8" t="s">
        <v>1310</v>
      </c>
      <c r="T20" s="7" t="s">
        <v>1332</v>
      </c>
      <c r="U20" s="8" t="s">
        <v>519</v>
      </c>
      <c r="V20" s="7" t="str">
        <f t="shared" si="1"/>
        <v>iwh:strat-THAM</v>
      </c>
      <c r="W20" s="8" t="s">
        <v>702</v>
      </c>
      <c r="X20" s="7" t="str">
        <f t="shared" si="2"/>
        <v>gspr:Erosion,  gspr:Deposition</v>
      </c>
      <c r="Y20" s="7" t="str">
        <f t="shared" si="8"/>
        <v>gscn:Unconformable_Contact</v>
      </c>
      <c r="Z20" s="8" t="s">
        <v>443</v>
      </c>
      <c r="AA20" s="7" t="str">
        <f t="shared" si="3"/>
        <v>gslth:Arenite</v>
      </c>
      <c r="AB20" s="8" t="s">
        <v>405</v>
      </c>
      <c r="AC20" s="8" t="s">
        <v>451</v>
      </c>
      <c r="AD20" s="7" t="str">
        <f t="shared" si="4"/>
        <v>gslth:Generic_Mudstone</v>
      </c>
      <c r="AE20" s="8" t="s">
        <v>401</v>
      </c>
      <c r="AH20" s="8" t="s">
        <v>532</v>
      </c>
      <c r="AI20" s="8">
        <v>202.7</v>
      </c>
      <c r="AK20" s="8" t="s">
        <v>1117</v>
      </c>
      <c r="AL20" s="8" t="s">
        <v>943</v>
      </c>
      <c r="AM20" s="7" t="str">
        <f t="shared" si="5"/>
        <v>gsen:Inner_Neritic_Setting</v>
      </c>
      <c r="AN20" s="8" t="s">
        <v>651</v>
      </c>
      <c r="AO20" s="7" t="s">
        <v>1266</v>
      </c>
    </row>
    <row r="21" spans="1:41" ht="45" x14ac:dyDescent="0.25">
      <c r="A21" s="7" t="s">
        <v>676</v>
      </c>
      <c r="B21" s="7" t="s">
        <v>1046</v>
      </c>
      <c r="C21" s="7" t="str">
        <f t="shared" si="6"/>
        <v>iwh:strat-SLSY</v>
      </c>
      <c r="D21" s="7" t="s">
        <v>1142</v>
      </c>
      <c r="E21" s="7" t="str">
        <f t="shared" si="0"/>
        <v>iwh:strat-BRB</v>
      </c>
      <c r="F21" s="7" t="s">
        <v>517</v>
      </c>
      <c r="G21" s="7" t="s">
        <v>523</v>
      </c>
      <c r="H21" s="7" t="s">
        <v>514</v>
      </c>
      <c r="I21" s="7" t="s">
        <v>524</v>
      </c>
      <c r="N21" s="8" t="s">
        <v>1122</v>
      </c>
      <c r="P21" s="7" t="s">
        <v>1123</v>
      </c>
      <c r="Q21" s="7" t="s">
        <v>1291</v>
      </c>
      <c r="R21" s="7" t="s">
        <v>1096</v>
      </c>
      <c r="S21" s="7" t="s">
        <v>1311</v>
      </c>
      <c r="T21" s="7" t="s">
        <v>1331</v>
      </c>
      <c r="U21" s="7" t="s">
        <v>515</v>
      </c>
      <c r="V21" s="7" t="str">
        <f t="shared" si="1"/>
        <v>iwh:strat-MARF</v>
      </c>
      <c r="W21" s="7" t="s">
        <v>753</v>
      </c>
      <c r="X21" s="7" t="str">
        <f t="shared" si="2"/>
        <v>gspr:Deposition</v>
      </c>
      <c r="Y21" s="7" t="str">
        <f t="shared" si="8"/>
        <v>gscn:Paraconformable_Contact</v>
      </c>
      <c r="Z21" s="7" t="s">
        <v>443</v>
      </c>
      <c r="AA21" s="7" t="str">
        <f t="shared" si="3"/>
        <v>gslth:Arenite</v>
      </c>
      <c r="AB21" s="7" t="s">
        <v>405</v>
      </c>
      <c r="AC21" s="7" t="s">
        <v>446</v>
      </c>
      <c r="AD21" s="7" t="str">
        <f t="shared" si="4"/>
        <v>gslth:Siltstone</v>
      </c>
      <c r="AE21" s="7" t="s">
        <v>399</v>
      </c>
      <c r="AH21" s="7" t="s">
        <v>533</v>
      </c>
      <c r="AI21" s="7">
        <v>0</v>
      </c>
      <c r="AJ21" s="7">
        <v>43</v>
      </c>
      <c r="AK21" s="7" t="s">
        <v>1116</v>
      </c>
      <c r="AL21" s="7" t="s">
        <v>942</v>
      </c>
      <c r="AM21" s="7" t="str">
        <f t="shared" si="5"/>
        <v>gsen:Inner_Neritic_Setting</v>
      </c>
      <c r="AN21" s="7" t="s">
        <v>650</v>
      </c>
      <c r="AO21" s="7" t="s">
        <v>1266</v>
      </c>
    </row>
    <row r="22" spans="1:41" ht="45" x14ac:dyDescent="0.25">
      <c r="A22" s="7" t="s">
        <v>676</v>
      </c>
      <c r="B22" s="7" t="s">
        <v>1046</v>
      </c>
      <c r="C22" s="7" t="str">
        <f t="shared" si="6"/>
        <v>iwh:strat-MARF</v>
      </c>
      <c r="D22" s="7" t="s">
        <v>1143</v>
      </c>
      <c r="E22" s="7" t="str">
        <f t="shared" si="0"/>
        <v>iwh:strat-BRB</v>
      </c>
      <c r="F22" s="7" t="s">
        <v>517</v>
      </c>
      <c r="G22" s="7" t="s">
        <v>523</v>
      </c>
      <c r="H22" s="7" t="s">
        <v>515</v>
      </c>
      <c r="I22" s="7" t="s">
        <v>525</v>
      </c>
      <c r="N22" s="8" t="s">
        <v>1122</v>
      </c>
      <c r="P22" s="7" t="s">
        <v>1123</v>
      </c>
      <c r="Q22" s="7" t="s">
        <v>1292</v>
      </c>
      <c r="R22" s="7" t="s">
        <v>1097</v>
      </c>
      <c r="S22" s="7" t="s">
        <v>1312</v>
      </c>
      <c r="T22" s="7" t="s">
        <v>1332</v>
      </c>
      <c r="U22" s="7" t="s">
        <v>516</v>
      </c>
      <c r="V22" s="7" t="str">
        <f t="shared" si="1"/>
        <v>iwh:strat-EA</v>
      </c>
      <c r="W22" s="7" t="s">
        <v>702</v>
      </c>
      <c r="X22" s="7" t="str">
        <f t="shared" si="2"/>
        <v>gspr:Erosion,  gspr:Deposition</v>
      </c>
      <c r="Y22" s="7" t="str">
        <f t="shared" si="8"/>
        <v>gscn:Unconformable_Contact</v>
      </c>
      <c r="Z22" s="7" t="s">
        <v>443</v>
      </c>
      <c r="AA22" s="7" t="str">
        <f t="shared" si="3"/>
        <v>gslth:Arenite</v>
      </c>
      <c r="AB22" s="7" t="s">
        <v>405</v>
      </c>
      <c r="AC22" s="7" t="s">
        <v>451</v>
      </c>
      <c r="AD22" s="7" t="str">
        <f t="shared" si="4"/>
        <v>gslth:Generic_Mudstone</v>
      </c>
      <c r="AE22" s="7" t="s">
        <v>401</v>
      </c>
      <c r="AH22" s="7" t="s">
        <v>534</v>
      </c>
      <c r="AI22" s="7">
        <v>0</v>
      </c>
      <c r="AJ22" s="7">
        <v>18</v>
      </c>
      <c r="AK22" s="7" t="s">
        <v>1116</v>
      </c>
      <c r="AL22" s="7" t="s">
        <v>941</v>
      </c>
      <c r="AM22" s="7" t="str">
        <f t="shared" si="5"/>
        <v>gsen:Shoreline_Setting, gsen:Inner_Neritic_Setting</v>
      </c>
      <c r="AN22" s="7" t="s">
        <v>649</v>
      </c>
      <c r="AO22" s="7" t="s">
        <v>1266</v>
      </c>
    </row>
    <row r="23" spans="1:41" ht="45" x14ac:dyDescent="0.25">
      <c r="A23" s="7" t="s">
        <v>676</v>
      </c>
      <c r="B23" s="7" t="s">
        <v>1046</v>
      </c>
      <c r="C23" s="7" t="str">
        <f t="shared" si="6"/>
        <v>iwh:strat-EA</v>
      </c>
      <c r="D23" s="7" t="s">
        <v>1144</v>
      </c>
      <c r="E23" s="7" t="str">
        <f t="shared" si="0"/>
        <v>iwh:strat-BRB</v>
      </c>
      <c r="F23" s="7" t="s">
        <v>517</v>
      </c>
      <c r="G23" s="7" t="s">
        <v>523</v>
      </c>
      <c r="H23" s="7" t="s">
        <v>516</v>
      </c>
      <c r="I23" s="7" t="s">
        <v>526</v>
      </c>
      <c r="N23" s="8" t="s">
        <v>1122</v>
      </c>
      <c r="P23" s="7" t="s">
        <v>1123</v>
      </c>
      <c r="Q23" s="7" t="s">
        <v>1293</v>
      </c>
      <c r="R23" s="7" t="s">
        <v>1054</v>
      </c>
      <c r="S23" s="7" t="s">
        <v>1313</v>
      </c>
      <c r="T23" s="7" t="s">
        <v>1331</v>
      </c>
      <c r="U23" s="7" t="s">
        <v>518</v>
      </c>
      <c r="V23" s="7" t="str">
        <f t="shared" si="1"/>
        <v>iwh:strat-WTT</v>
      </c>
      <c r="W23" s="7" t="s">
        <v>753</v>
      </c>
      <c r="X23" s="7" t="str">
        <f t="shared" si="2"/>
        <v>gspr:Deposition</v>
      </c>
      <c r="Y23" s="7" t="str">
        <f t="shared" si="8"/>
        <v>gscn:Paraconformable_Contact</v>
      </c>
      <c r="Z23" s="7" t="s">
        <v>443</v>
      </c>
      <c r="AA23" s="7" t="str">
        <f t="shared" si="3"/>
        <v>gslth:Arenite</v>
      </c>
      <c r="AB23" s="7" t="s">
        <v>405</v>
      </c>
      <c r="AD23" s="7" t="str">
        <f t="shared" si="4"/>
        <v/>
      </c>
      <c r="AH23" s="7" t="s">
        <v>535</v>
      </c>
      <c r="AI23" s="7">
        <v>0</v>
      </c>
      <c r="AJ23" s="7">
        <v>22</v>
      </c>
      <c r="AK23" s="7" t="s">
        <v>1116</v>
      </c>
      <c r="AL23" s="7" t="s">
        <v>940</v>
      </c>
      <c r="AM23" s="7" t="str">
        <f t="shared" si="5"/>
        <v>gsen:Inner_Neritic_Setting</v>
      </c>
      <c r="AN23" s="7" t="s">
        <v>650</v>
      </c>
      <c r="AO23" s="7" t="s">
        <v>1266</v>
      </c>
    </row>
    <row r="24" spans="1:41" ht="45" x14ac:dyDescent="0.25">
      <c r="A24" s="7" t="s">
        <v>676</v>
      </c>
      <c r="B24" s="7" t="s">
        <v>1046</v>
      </c>
      <c r="C24" s="7" t="str">
        <f t="shared" si="6"/>
        <v>iwh:strat-WTT</v>
      </c>
      <c r="D24" s="7" t="s">
        <v>1145</v>
      </c>
      <c r="E24" s="7" t="str">
        <f t="shared" si="0"/>
        <v>iwh:strat-BRB</v>
      </c>
      <c r="F24" s="7" t="s">
        <v>517</v>
      </c>
      <c r="G24" s="7" t="s">
        <v>523</v>
      </c>
      <c r="H24" s="7" t="s">
        <v>518</v>
      </c>
      <c r="I24" s="7" t="s">
        <v>527</v>
      </c>
      <c r="N24" s="8" t="s">
        <v>1121</v>
      </c>
      <c r="P24" s="7" t="s">
        <v>1123</v>
      </c>
      <c r="Q24" s="7" t="s">
        <v>1294</v>
      </c>
      <c r="R24" s="8" t="s">
        <v>1093</v>
      </c>
      <c r="S24" s="7" t="s">
        <v>1314</v>
      </c>
      <c r="T24" s="7" t="s">
        <v>1332</v>
      </c>
      <c r="U24" s="7" t="s">
        <v>520</v>
      </c>
      <c r="V24" s="7" t="str">
        <f t="shared" si="1"/>
        <v>iwh:strat-LC</v>
      </c>
      <c r="W24" s="7" t="s">
        <v>702</v>
      </c>
      <c r="X24" s="7" t="str">
        <f t="shared" si="2"/>
        <v>gspr:Erosion,  gspr:Deposition</v>
      </c>
      <c r="Y24" s="7" t="str">
        <f t="shared" si="8"/>
        <v>gscn:Unconformable_Contact</v>
      </c>
      <c r="Z24" s="7" t="s">
        <v>451</v>
      </c>
      <c r="AA24" s="7" t="str">
        <f t="shared" si="3"/>
        <v>gslth:Generic_Mudstone</v>
      </c>
      <c r="AB24" s="7" t="s">
        <v>401</v>
      </c>
      <c r="AC24" s="7" t="s">
        <v>443</v>
      </c>
      <c r="AD24" s="7" t="str">
        <f t="shared" si="4"/>
        <v>gslth:Arenite</v>
      </c>
      <c r="AE24" s="7" t="s">
        <v>405</v>
      </c>
      <c r="AH24" s="7" t="s">
        <v>536</v>
      </c>
      <c r="AI24" s="7">
        <v>76</v>
      </c>
      <c r="AJ24" s="7">
        <v>90</v>
      </c>
      <c r="AK24" s="7" t="s">
        <v>1116</v>
      </c>
      <c r="AL24" s="7" t="s">
        <v>939</v>
      </c>
      <c r="AM24" s="7" t="str">
        <f t="shared" si="5"/>
        <v>gsen:Shoreline_Setting, gsen:Inner_Neritic_Setting</v>
      </c>
      <c r="AN24" s="7" t="s">
        <v>649</v>
      </c>
      <c r="AO24" s="7" t="s">
        <v>1266</v>
      </c>
    </row>
    <row r="25" spans="1:41" s="8" customFormat="1" ht="30" x14ac:dyDescent="0.25">
      <c r="A25" s="7" t="s">
        <v>676</v>
      </c>
      <c r="B25" s="7" t="s">
        <v>1048</v>
      </c>
      <c r="C25" s="7" t="str">
        <f t="shared" si="6"/>
        <v>iwh:strat-THAM</v>
      </c>
      <c r="D25" s="7" t="s">
        <v>1146</v>
      </c>
      <c r="E25" s="7" t="str">
        <f t="shared" si="0"/>
        <v/>
      </c>
      <c r="F25" s="8" t="s">
        <v>519</v>
      </c>
      <c r="G25" s="8" t="s">
        <v>528</v>
      </c>
      <c r="N25" s="8" t="s">
        <v>1121</v>
      </c>
      <c r="P25" s="7" t="s">
        <v>1123</v>
      </c>
      <c r="Q25" s="7" t="s">
        <v>1295</v>
      </c>
      <c r="R25" s="8" t="s">
        <v>1090</v>
      </c>
      <c r="S25" s="8" t="s">
        <v>1315</v>
      </c>
      <c r="T25" s="8" t="s">
        <v>1331</v>
      </c>
      <c r="U25" s="8" t="s">
        <v>521</v>
      </c>
      <c r="V25" s="7" t="str">
        <f t="shared" si="1"/>
        <v>iwh:strat-LMBE</v>
      </c>
      <c r="W25" s="8" t="s">
        <v>702</v>
      </c>
      <c r="X25" s="7" t="str">
        <f t="shared" si="2"/>
        <v>gspr:Erosion,  gspr:Deposition</v>
      </c>
      <c r="Y25" s="7" t="str">
        <f t="shared" si="8"/>
        <v>gscn:Unconformable_Contact</v>
      </c>
      <c r="Z25" s="8" t="s">
        <v>444</v>
      </c>
      <c r="AA25" s="7" t="str">
        <f t="shared" si="3"/>
        <v>gslth:Arenite</v>
      </c>
      <c r="AB25" s="8" t="s">
        <v>406</v>
      </c>
      <c r="AC25" s="8" t="s">
        <v>450</v>
      </c>
      <c r="AD25" s="7" t="str">
        <f t="shared" si="4"/>
        <v>gslth:Generic_Mudstone</v>
      </c>
      <c r="AE25" s="8" t="s">
        <v>400</v>
      </c>
      <c r="AI25" s="8">
        <v>94.8</v>
      </c>
      <c r="AK25" s="8" t="s">
        <v>1117</v>
      </c>
      <c r="AL25" s="8" t="s">
        <v>938</v>
      </c>
      <c r="AM25" s="7" t="str">
        <f t="shared" si="5"/>
        <v>gsen:Outer_Neritic_Setting</v>
      </c>
      <c r="AN25" s="8" t="s">
        <v>646</v>
      </c>
      <c r="AO25" s="7" t="s">
        <v>1266</v>
      </c>
    </row>
    <row r="26" spans="1:41" s="8" customFormat="1" ht="45" x14ac:dyDescent="0.25">
      <c r="A26" s="7" t="s">
        <v>676</v>
      </c>
      <c r="B26" s="7" t="s">
        <v>1046</v>
      </c>
      <c r="C26" s="7" t="str">
        <f t="shared" si="6"/>
        <v>iwh:strat-LC</v>
      </c>
      <c r="D26" s="7" t="s">
        <v>1147</v>
      </c>
      <c r="E26" s="7" t="str">
        <f t="shared" si="0"/>
        <v>iwh:strat-THAM</v>
      </c>
      <c r="F26" s="8" t="s">
        <v>519</v>
      </c>
      <c r="G26" s="8" t="s">
        <v>528</v>
      </c>
      <c r="H26" s="8" t="s">
        <v>520</v>
      </c>
      <c r="I26" s="8" t="s">
        <v>530</v>
      </c>
      <c r="N26" s="8" t="s">
        <v>1121</v>
      </c>
      <c r="P26" s="7" t="s">
        <v>1123</v>
      </c>
      <c r="Q26" s="7" t="s">
        <v>1296</v>
      </c>
      <c r="R26" s="7" t="s">
        <v>1088</v>
      </c>
      <c r="S26" s="8" t="s">
        <v>1315</v>
      </c>
      <c r="T26" s="8" t="s">
        <v>1331</v>
      </c>
      <c r="U26" s="7" t="s">
        <v>713</v>
      </c>
      <c r="V26" s="7" t="str">
        <f t="shared" si="1"/>
        <v>iwh:strat-HWH</v>
      </c>
      <c r="W26" s="8" t="s">
        <v>434</v>
      </c>
      <c r="X26" s="7" t="str">
        <f t="shared" si="2"/>
        <v>gspr:Deposition</v>
      </c>
      <c r="Y26" s="7" t="str">
        <f t="shared" si="8"/>
        <v>gscn:Conformable_Contact</v>
      </c>
      <c r="Z26" s="8" t="s">
        <v>444</v>
      </c>
      <c r="AA26" s="7" t="str">
        <f t="shared" si="3"/>
        <v>gslth:Arenite</v>
      </c>
      <c r="AB26" s="8" t="s">
        <v>406</v>
      </c>
      <c r="AC26" s="8" t="s">
        <v>450</v>
      </c>
      <c r="AD26" s="7" t="str">
        <f t="shared" si="4"/>
        <v>gslth:Generic_Mudstone</v>
      </c>
      <c r="AE26" s="8" t="s">
        <v>400</v>
      </c>
      <c r="AH26" s="8" t="s">
        <v>537</v>
      </c>
      <c r="AI26" s="8">
        <v>0</v>
      </c>
      <c r="AJ26" s="8">
        <v>150</v>
      </c>
      <c r="AK26" s="7" t="s">
        <v>1116</v>
      </c>
      <c r="AL26" s="8" t="s">
        <v>937</v>
      </c>
      <c r="AM26" s="7" t="str">
        <f t="shared" si="5"/>
        <v>gsen:Inner_Neritic_Setting, gsen:Middle_Neritic_Setting</v>
      </c>
      <c r="AN26" s="8" t="s">
        <v>716</v>
      </c>
      <c r="AO26" s="7" t="s">
        <v>1266</v>
      </c>
    </row>
    <row r="27" spans="1:41" ht="114.75" x14ac:dyDescent="0.25">
      <c r="A27" s="7" t="s">
        <v>676</v>
      </c>
      <c r="B27" s="7" t="s">
        <v>1047</v>
      </c>
      <c r="C27" s="7" t="str">
        <f t="shared" si="6"/>
        <v>iwh:strat-POWH</v>
      </c>
      <c r="D27" s="7" t="s">
        <v>1149</v>
      </c>
      <c r="E27" s="7" t="str">
        <f t="shared" si="0"/>
        <v>iwh:strat-LC</v>
      </c>
      <c r="F27" s="7" t="s">
        <v>519</v>
      </c>
      <c r="G27" s="7" t="s">
        <v>528</v>
      </c>
      <c r="H27" s="7" t="s">
        <v>520</v>
      </c>
      <c r="I27" s="7" t="s">
        <v>530</v>
      </c>
      <c r="J27" s="9" t="s">
        <v>682</v>
      </c>
      <c r="K27" s="7" t="s">
        <v>539</v>
      </c>
      <c r="N27" s="8" t="s">
        <v>1121</v>
      </c>
      <c r="P27" s="7" t="s">
        <v>1123</v>
      </c>
      <c r="Q27" s="7" t="s">
        <v>1297</v>
      </c>
      <c r="R27" s="7" t="s">
        <v>1091</v>
      </c>
      <c r="S27" s="7" t="s">
        <v>1092</v>
      </c>
      <c r="T27" s="7" t="s">
        <v>1050</v>
      </c>
      <c r="U27" s="7" t="s">
        <v>520</v>
      </c>
      <c r="V27" s="7" t="str">
        <f t="shared" si="1"/>
        <v>iwh:strat-LC</v>
      </c>
      <c r="W27" s="7" t="s">
        <v>702</v>
      </c>
      <c r="X27" s="7" t="str">
        <f t="shared" si="2"/>
        <v>gspr:Erosion,  gspr:Deposition</v>
      </c>
      <c r="Y27" s="7" t="str">
        <f t="shared" si="8"/>
        <v>gscn:Unconformable_Contact</v>
      </c>
      <c r="Z27" s="7" t="s">
        <v>443</v>
      </c>
      <c r="AA27" s="7" t="str">
        <f t="shared" si="3"/>
        <v>gslth:Arenite</v>
      </c>
      <c r="AB27" s="7" t="s">
        <v>405</v>
      </c>
      <c r="AD27" s="7" t="str">
        <f t="shared" si="4"/>
        <v/>
      </c>
      <c r="AH27" s="8" t="s">
        <v>749</v>
      </c>
      <c r="AI27" s="7">
        <v>25</v>
      </c>
      <c r="AK27" s="7" t="s">
        <v>1116</v>
      </c>
      <c r="AL27" s="7" t="s">
        <v>936</v>
      </c>
      <c r="AM27" s="7" t="str">
        <f t="shared" si="5"/>
        <v>gsen:Outer_Neritic_Setting</v>
      </c>
      <c r="AN27" s="7" t="s">
        <v>647</v>
      </c>
      <c r="AO27" s="7" t="s">
        <v>1266</v>
      </c>
    </row>
    <row r="28" spans="1:41" ht="45" x14ac:dyDescent="0.25">
      <c r="A28" s="7" t="s">
        <v>676</v>
      </c>
      <c r="B28" s="7" t="s">
        <v>1046</v>
      </c>
      <c r="C28" s="7" t="str">
        <f t="shared" si="6"/>
        <v>iwh:strat-HWH</v>
      </c>
      <c r="D28" s="7" t="s">
        <v>1148</v>
      </c>
      <c r="E28" s="7" t="str">
        <f t="shared" si="0"/>
        <v>iwh:strat-THAM</v>
      </c>
      <c r="F28" s="7" t="s">
        <v>519</v>
      </c>
      <c r="G28" s="7" t="s">
        <v>528</v>
      </c>
      <c r="H28" s="7" t="s">
        <v>713</v>
      </c>
      <c r="I28" s="7" t="s">
        <v>714</v>
      </c>
      <c r="J28" s="9"/>
      <c r="N28" s="8" t="s">
        <v>1121</v>
      </c>
      <c r="P28" s="7" t="s">
        <v>1123</v>
      </c>
      <c r="Q28" s="7" t="s">
        <v>1298</v>
      </c>
      <c r="R28" s="8" t="s">
        <v>1090</v>
      </c>
      <c r="S28" s="8" t="s">
        <v>1321</v>
      </c>
      <c r="T28" s="8" t="s">
        <v>1331</v>
      </c>
      <c r="U28" s="8" t="s">
        <v>522</v>
      </c>
      <c r="V28" s="7" t="str">
        <f t="shared" si="1"/>
        <v>iwh:strat-RB</v>
      </c>
      <c r="W28" s="7" t="s">
        <v>702</v>
      </c>
      <c r="X28" s="7" t="str">
        <f t="shared" si="2"/>
        <v>gspr:Erosion,  gspr:Deposition</v>
      </c>
      <c r="Y28" s="7" t="str">
        <f t="shared" si="8"/>
        <v>gscn:Unconformable_Contact</v>
      </c>
      <c r="Z28" s="7" t="s">
        <v>444</v>
      </c>
      <c r="AA28" s="7" t="str">
        <f t="shared" si="3"/>
        <v>gslth:Arenite</v>
      </c>
      <c r="AB28" s="7" t="s">
        <v>406</v>
      </c>
      <c r="AC28" s="7" t="s">
        <v>447</v>
      </c>
      <c r="AD28" s="7" t="str">
        <f t="shared" si="4"/>
        <v>gslth:Siltstone</v>
      </c>
      <c r="AE28" s="7" t="s">
        <v>404</v>
      </c>
      <c r="AH28" s="7" t="s">
        <v>752</v>
      </c>
      <c r="AI28" s="7">
        <v>2.2999999999999998</v>
      </c>
      <c r="AK28" s="7" t="s">
        <v>1118</v>
      </c>
      <c r="AL28" s="7" t="s">
        <v>935</v>
      </c>
      <c r="AM28" s="7" t="str">
        <f t="shared" si="5"/>
        <v>gsen:Inner_Neritic_Setting, gsen:Middle_Neritic_Setting</v>
      </c>
      <c r="AN28" s="7" t="s">
        <v>716</v>
      </c>
      <c r="AO28" s="7" t="s">
        <v>1266</v>
      </c>
    </row>
    <row r="29" spans="1:41" s="14" customFormat="1" ht="30" x14ac:dyDescent="0.25">
      <c r="A29" s="14" t="s">
        <v>676</v>
      </c>
      <c r="B29" s="14" t="s">
        <v>1048</v>
      </c>
      <c r="C29" s="14" t="str">
        <f t="shared" si="6"/>
        <v>iwh:strat-LMBE</v>
      </c>
      <c r="D29" s="14" t="str">
        <f t="shared" ref="D29:D63" si="10">IF(ISBLANK(J29),"", J29 &amp; " Member of ") &amp; IF(ISBLANK(H29),"", H29 &amp; " Formation, ") &amp; IF(ISBLANK(F29),"", F29 &amp; " Group")</f>
        <v>Lambeth Group</v>
      </c>
      <c r="E29" s="14" t="str">
        <f t="shared" si="0"/>
        <v/>
      </c>
      <c r="F29" s="14" t="s">
        <v>521</v>
      </c>
      <c r="G29" s="14" t="s">
        <v>529</v>
      </c>
      <c r="R29" s="14" t="s">
        <v>1089</v>
      </c>
      <c r="S29" s="14" t="s">
        <v>1090</v>
      </c>
      <c r="U29" s="14" t="s">
        <v>387</v>
      </c>
      <c r="W29" s="14" t="s">
        <v>436</v>
      </c>
      <c r="Z29" s="14" t="s">
        <v>443</v>
      </c>
      <c r="AB29" s="14" t="s">
        <v>405</v>
      </c>
      <c r="AC29" s="14" t="s">
        <v>447</v>
      </c>
      <c r="AE29" s="14" t="s">
        <v>404</v>
      </c>
      <c r="AL29" s="14" t="s">
        <v>934</v>
      </c>
      <c r="AN29" s="14" t="s">
        <v>645</v>
      </c>
      <c r="AO29" s="14" t="s">
        <v>1266</v>
      </c>
    </row>
    <row r="30" spans="1:41" s="14" customFormat="1" ht="30" x14ac:dyDescent="0.25">
      <c r="A30" s="14" t="s">
        <v>676</v>
      </c>
      <c r="B30" s="14" t="s">
        <v>1046</v>
      </c>
      <c r="C30" s="14" t="str">
        <f t="shared" si="6"/>
        <v>iwh:strat-RB</v>
      </c>
      <c r="D30" s="14" t="str">
        <f t="shared" si="10"/>
        <v>Reading Formation, Lambeth Group</v>
      </c>
      <c r="E30" s="14" t="str">
        <f t="shared" si="0"/>
        <v>iwh:strat-LMBE</v>
      </c>
      <c r="F30" s="14" t="s">
        <v>521</v>
      </c>
      <c r="G30" s="14" t="s">
        <v>529</v>
      </c>
      <c r="H30" s="14" t="s">
        <v>522</v>
      </c>
      <c r="I30" s="14" t="s">
        <v>531</v>
      </c>
      <c r="R30" s="14" t="s">
        <v>1089</v>
      </c>
      <c r="S30" s="14" t="s">
        <v>1090</v>
      </c>
      <c r="U30" s="14" t="s">
        <v>541</v>
      </c>
      <c r="W30" s="14" t="s">
        <v>436</v>
      </c>
      <c r="Z30" s="14" t="s">
        <v>443</v>
      </c>
      <c r="AB30" s="14" t="s">
        <v>405</v>
      </c>
      <c r="AC30" s="14" t="s">
        <v>451</v>
      </c>
      <c r="AE30" s="14" t="s">
        <v>401</v>
      </c>
      <c r="AH30" s="14" t="s">
        <v>540</v>
      </c>
      <c r="AL30" s="14" t="s">
        <v>933</v>
      </c>
      <c r="AN30" s="14" t="s">
        <v>645</v>
      </c>
      <c r="AO30" s="14" t="s">
        <v>1266</v>
      </c>
    </row>
    <row r="31" spans="1:41" s="14" customFormat="1" ht="30" x14ac:dyDescent="0.25">
      <c r="A31" s="14" t="s">
        <v>676</v>
      </c>
      <c r="B31" s="14" t="s">
        <v>1048</v>
      </c>
      <c r="C31" s="14" t="str">
        <f t="shared" si="6"/>
        <v>iwh:strat-CK</v>
      </c>
      <c r="D31" s="14" t="str">
        <f t="shared" si="10"/>
        <v>Chalk Group</v>
      </c>
      <c r="E31" s="14" t="str">
        <f t="shared" si="0"/>
        <v/>
      </c>
      <c r="F31" s="14" t="s">
        <v>387</v>
      </c>
      <c r="G31" s="14" t="s">
        <v>154</v>
      </c>
      <c r="R31" s="14" t="s">
        <v>1070</v>
      </c>
      <c r="S31" s="14" t="s">
        <v>1089</v>
      </c>
      <c r="U31" s="14" t="s">
        <v>578</v>
      </c>
      <c r="W31" s="14" t="s">
        <v>436</v>
      </c>
      <c r="Z31" s="14" t="s">
        <v>442</v>
      </c>
      <c r="AB31" s="14" t="s">
        <v>408</v>
      </c>
      <c r="AC31" s="14" t="s">
        <v>461</v>
      </c>
      <c r="AE31" s="14" t="s">
        <v>397</v>
      </c>
      <c r="AL31" s="14" t="s">
        <v>932</v>
      </c>
      <c r="AN31" s="14" t="s">
        <v>648</v>
      </c>
      <c r="AO31" s="14" t="s">
        <v>1266</v>
      </c>
    </row>
    <row r="32" spans="1:41" s="14" customFormat="1" ht="45" x14ac:dyDescent="0.25">
      <c r="A32" s="14" t="s">
        <v>676</v>
      </c>
      <c r="B32" s="14" t="s">
        <v>1046</v>
      </c>
      <c r="C32" s="14" t="str">
        <f t="shared" si="6"/>
        <v>iwh:strat-PCK</v>
      </c>
      <c r="D32" s="14" t="str">
        <f t="shared" si="10"/>
        <v>Portsdown Chalk Formation, Chalk Group</v>
      </c>
      <c r="E32" s="14" t="str">
        <f t="shared" si="0"/>
        <v>iwh:strat-CK</v>
      </c>
      <c r="F32" s="14" t="s">
        <v>387</v>
      </c>
      <c r="G32" s="14" t="s">
        <v>154</v>
      </c>
      <c r="H32" s="14" t="s">
        <v>541</v>
      </c>
      <c r="I32" s="14" t="s">
        <v>550</v>
      </c>
      <c r="R32" s="14" t="s">
        <v>1085</v>
      </c>
      <c r="S32" s="14" t="s">
        <v>1089</v>
      </c>
      <c r="U32" s="14" t="s">
        <v>542</v>
      </c>
      <c r="W32" s="14" t="s">
        <v>434</v>
      </c>
      <c r="Z32" s="14" t="s">
        <v>442</v>
      </c>
      <c r="AB32" s="14" t="s">
        <v>408</v>
      </c>
      <c r="AC32" s="14" t="s">
        <v>461</v>
      </c>
      <c r="AE32" s="14" t="s">
        <v>397</v>
      </c>
      <c r="AH32" s="14" t="s">
        <v>559</v>
      </c>
      <c r="AL32" s="14" t="s">
        <v>931</v>
      </c>
      <c r="AN32" s="14" t="s">
        <v>648</v>
      </c>
      <c r="AO32" s="14" t="s">
        <v>1266</v>
      </c>
    </row>
    <row r="33" spans="1:41" s="14" customFormat="1" ht="45" x14ac:dyDescent="0.25">
      <c r="A33" s="14" t="s">
        <v>676</v>
      </c>
      <c r="B33" s="14" t="s">
        <v>1046</v>
      </c>
      <c r="C33" s="14" t="str">
        <f t="shared" si="6"/>
        <v>iwh:strat-CUCK</v>
      </c>
      <c r="D33" s="14" t="str">
        <f t="shared" si="10"/>
        <v>Culver Chalk Formation, Chalk Group</v>
      </c>
      <c r="E33" s="14" t="str">
        <f t="shared" si="0"/>
        <v>iwh:strat-CK</v>
      </c>
      <c r="F33" s="14" t="s">
        <v>387</v>
      </c>
      <c r="G33" s="14" t="s">
        <v>154</v>
      </c>
      <c r="H33" s="14" t="s">
        <v>542</v>
      </c>
      <c r="I33" s="14" t="s">
        <v>552</v>
      </c>
      <c r="R33" s="14" t="s">
        <v>1086</v>
      </c>
      <c r="S33" s="14" t="s">
        <v>1085</v>
      </c>
      <c r="U33" s="14" t="s">
        <v>543</v>
      </c>
      <c r="W33" s="14" t="s">
        <v>434</v>
      </c>
      <c r="Z33" s="14" t="s">
        <v>442</v>
      </c>
      <c r="AB33" s="14" t="s">
        <v>408</v>
      </c>
      <c r="AC33" s="14" t="s">
        <v>461</v>
      </c>
      <c r="AE33" s="14" t="s">
        <v>397</v>
      </c>
      <c r="AL33" s="14" t="s">
        <v>930</v>
      </c>
      <c r="AN33" s="14" t="s">
        <v>648</v>
      </c>
      <c r="AO33" s="14" t="s">
        <v>1266</v>
      </c>
    </row>
    <row r="34" spans="1:41" s="14" customFormat="1" ht="45" x14ac:dyDescent="0.25">
      <c r="A34" s="14" t="s">
        <v>676</v>
      </c>
      <c r="B34" s="14" t="s">
        <v>1046</v>
      </c>
      <c r="C34" s="14" t="str">
        <f t="shared" si="6"/>
        <v>iwh:strat-NCK</v>
      </c>
      <c r="D34" s="14" t="str">
        <f t="shared" si="10"/>
        <v>Newhaven Chalk Formation, Chalk Group</v>
      </c>
      <c r="E34" s="14" t="str">
        <f t="shared" si="0"/>
        <v>iwh:strat-CK</v>
      </c>
      <c r="F34" s="14" t="s">
        <v>387</v>
      </c>
      <c r="G34" s="14" t="s">
        <v>154</v>
      </c>
      <c r="H34" s="14" t="s">
        <v>543</v>
      </c>
      <c r="I34" s="14" t="s">
        <v>551</v>
      </c>
      <c r="R34" s="14" t="s">
        <v>1087</v>
      </c>
      <c r="S34" s="14" t="s">
        <v>1086</v>
      </c>
      <c r="U34" s="14" t="s">
        <v>544</v>
      </c>
      <c r="W34" s="14" t="s">
        <v>434</v>
      </c>
      <c r="Z34" s="14" t="s">
        <v>442</v>
      </c>
      <c r="AB34" s="14" t="s">
        <v>408</v>
      </c>
      <c r="AC34" s="14" t="s">
        <v>461</v>
      </c>
      <c r="AE34" s="14" t="s">
        <v>397</v>
      </c>
      <c r="AH34" s="14" t="s">
        <v>560</v>
      </c>
      <c r="AL34" s="14" t="s">
        <v>929</v>
      </c>
      <c r="AN34" s="14" t="s">
        <v>648</v>
      </c>
      <c r="AO34" s="14" t="s">
        <v>1266</v>
      </c>
    </row>
    <row r="35" spans="1:41" s="14" customFormat="1" ht="45" x14ac:dyDescent="0.25">
      <c r="A35" s="14" t="s">
        <v>676</v>
      </c>
      <c r="B35" s="14" t="s">
        <v>1046</v>
      </c>
      <c r="C35" s="14" t="str">
        <f t="shared" si="6"/>
        <v>iwh:strat-SECK</v>
      </c>
      <c r="D35" s="14" t="str">
        <f t="shared" si="10"/>
        <v>Seaford Chalk Formation, Chalk Group</v>
      </c>
      <c r="E35" s="14" t="str">
        <f t="shared" si="0"/>
        <v>iwh:strat-CK</v>
      </c>
      <c r="F35" s="14" t="s">
        <v>387</v>
      </c>
      <c r="G35" s="14" t="s">
        <v>154</v>
      </c>
      <c r="H35" s="14" t="s">
        <v>544</v>
      </c>
      <c r="I35" s="14" t="s">
        <v>553</v>
      </c>
      <c r="R35" s="14" t="s">
        <v>1075</v>
      </c>
      <c r="S35" s="14" t="s">
        <v>1087</v>
      </c>
      <c r="U35" s="14" t="s">
        <v>545</v>
      </c>
      <c r="W35" s="14" t="s">
        <v>434</v>
      </c>
      <c r="Z35" s="14" t="s">
        <v>442</v>
      </c>
      <c r="AB35" s="14" t="s">
        <v>408</v>
      </c>
      <c r="AC35" s="14" t="s">
        <v>461</v>
      </c>
      <c r="AE35" s="14" t="s">
        <v>397</v>
      </c>
      <c r="AH35" s="14" t="s">
        <v>561</v>
      </c>
      <c r="AL35" s="14" t="s">
        <v>928</v>
      </c>
      <c r="AN35" s="14" t="s">
        <v>648</v>
      </c>
      <c r="AO35" s="14" t="s">
        <v>1266</v>
      </c>
    </row>
    <row r="36" spans="1:41" s="14" customFormat="1" ht="45" x14ac:dyDescent="0.25">
      <c r="A36" s="14" t="s">
        <v>676</v>
      </c>
      <c r="B36" s="14" t="s">
        <v>1046</v>
      </c>
      <c r="C36" s="14" t="str">
        <f t="shared" si="6"/>
        <v>iwh:strat-LECH</v>
      </c>
      <c r="D36" s="14" t="str">
        <f t="shared" si="10"/>
        <v>Lewes Nodular Chalk Formation, Chalk Group</v>
      </c>
      <c r="E36" s="14" t="str">
        <f t="shared" si="0"/>
        <v>iwh:strat-CK</v>
      </c>
      <c r="F36" s="14" t="s">
        <v>387</v>
      </c>
      <c r="G36" s="14" t="s">
        <v>154</v>
      </c>
      <c r="H36" s="14" t="s">
        <v>545</v>
      </c>
      <c r="I36" s="14" t="s">
        <v>554</v>
      </c>
      <c r="R36" s="14" t="s">
        <v>1076</v>
      </c>
      <c r="S36" s="14" t="s">
        <v>1075</v>
      </c>
      <c r="U36" s="14" t="s">
        <v>546</v>
      </c>
      <c r="W36" s="14" t="s">
        <v>434</v>
      </c>
      <c r="Z36" s="14" t="s">
        <v>442</v>
      </c>
      <c r="AB36" s="14" t="s">
        <v>408</v>
      </c>
      <c r="AC36" s="14" t="s">
        <v>461</v>
      </c>
      <c r="AE36" s="14" t="s">
        <v>397</v>
      </c>
      <c r="AH36" s="14" t="s">
        <v>562</v>
      </c>
      <c r="AL36" s="14" t="s">
        <v>927</v>
      </c>
      <c r="AN36" s="14" t="s">
        <v>648</v>
      </c>
      <c r="AO36" s="14" t="s">
        <v>1266</v>
      </c>
    </row>
    <row r="37" spans="1:41" s="14" customFormat="1" ht="45" x14ac:dyDescent="0.25">
      <c r="A37" s="14" t="s">
        <v>676</v>
      </c>
      <c r="B37" s="14" t="s">
        <v>1046</v>
      </c>
      <c r="C37" s="14" t="str">
        <f t="shared" si="6"/>
        <v>iwh:strat-NPCH</v>
      </c>
      <c r="D37" s="14" t="str">
        <f t="shared" si="10"/>
        <v>New Pit Chalk Formation, Chalk Group</v>
      </c>
      <c r="E37" s="14" t="str">
        <f t="shared" si="0"/>
        <v>iwh:strat-CK</v>
      </c>
      <c r="F37" s="14" t="s">
        <v>387</v>
      </c>
      <c r="G37" s="14" t="s">
        <v>154</v>
      </c>
      <c r="H37" s="14" t="s">
        <v>546</v>
      </c>
      <c r="I37" s="14" t="s">
        <v>555</v>
      </c>
      <c r="R37" s="14" t="s">
        <v>1077</v>
      </c>
      <c r="S37" s="14" t="s">
        <v>1076</v>
      </c>
      <c r="U37" s="14" t="s">
        <v>547</v>
      </c>
      <c r="W37" s="14" t="s">
        <v>434</v>
      </c>
      <c r="Z37" s="14" t="s">
        <v>442</v>
      </c>
      <c r="AB37" s="14" t="s">
        <v>408</v>
      </c>
      <c r="AC37" s="14" t="s">
        <v>563</v>
      </c>
      <c r="AE37" s="14" t="s">
        <v>397</v>
      </c>
      <c r="AH37" s="14" t="s">
        <v>565</v>
      </c>
      <c r="AL37" s="14" t="s">
        <v>926</v>
      </c>
      <c r="AN37" s="14" t="s">
        <v>648</v>
      </c>
      <c r="AO37" s="14" t="s">
        <v>1266</v>
      </c>
    </row>
    <row r="38" spans="1:41" s="14" customFormat="1" ht="45" x14ac:dyDescent="0.25">
      <c r="A38" s="14" t="s">
        <v>676</v>
      </c>
      <c r="B38" s="14" t="s">
        <v>1046</v>
      </c>
      <c r="C38" s="14" t="str">
        <f t="shared" si="6"/>
        <v>iwh:strat-HCK</v>
      </c>
      <c r="D38" s="14" t="str">
        <f t="shared" si="10"/>
        <v>Holywell Nodular Chalk Formation, Chalk Group</v>
      </c>
      <c r="E38" s="14" t="str">
        <f t="shared" si="0"/>
        <v>iwh:strat-CK</v>
      </c>
      <c r="F38" s="14" t="s">
        <v>387</v>
      </c>
      <c r="G38" s="14" t="s">
        <v>154</v>
      </c>
      <c r="H38" s="14" t="s">
        <v>547</v>
      </c>
      <c r="I38" s="14" t="s">
        <v>556</v>
      </c>
      <c r="R38" s="14" t="s">
        <v>1071</v>
      </c>
      <c r="S38" s="14" t="s">
        <v>1077</v>
      </c>
      <c r="U38" s="14" t="s">
        <v>548</v>
      </c>
      <c r="W38" s="14" t="s">
        <v>436</v>
      </c>
      <c r="Z38" s="14" t="s">
        <v>442</v>
      </c>
      <c r="AB38" s="14" t="s">
        <v>408</v>
      </c>
      <c r="AC38" s="14" t="s">
        <v>563</v>
      </c>
      <c r="AE38" s="14" t="s">
        <v>564</v>
      </c>
      <c r="AH38" s="14" t="s">
        <v>566</v>
      </c>
      <c r="AL38" s="14" t="s">
        <v>925</v>
      </c>
      <c r="AN38" s="14" t="s">
        <v>648</v>
      </c>
      <c r="AO38" s="14" t="s">
        <v>1266</v>
      </c>
    </row>
    <row r="39" spans="1:41" s="14" customFormat="1" ht="75" x14ac:dyDescent="0.25">
      <c r="A39" s="14" t="s">
        <v>676</v>
      </c>
      <c r="B39" s="14" t="s">
        <v>1047</v>
      </c>
      <c r="C39" s="14" t="str">
        <f t="shared" si="6"/>
        <v>iwh:strat-MR</v>
      </c>
      <c r="D39" s="14" t="str">
        <f t="shared" si="10"/>
        <v>Melbourn Rock Member of Holywell Nodular Chalk Formation, Chalk Group</v>
      </c>
      <c r="E39" s="14" t="str">
        <f t="shared" si="0"/>
        <v>iwh:strat-HCK</v>
      </c>
      <c r="F39" s="14" t="s">
        <v>387</v>
      </c>
      <c r="G39" s="14" t="s">
        <v>154</v>
      </c>
      <c r="H39" s="14" t="s">
        <v>547</v>
      </c>
      <c r="I39" s="14" t="s">
        <v>556</v>
      </c>
      <c r="J39" s="14" t="s">
        <v>567</v>
      </c>
      <c r="K39" s="14" t="s">
        <v>569</v>
      </c>
      <c r="R39" s="14" t="s">
        <v>1073</v>
      </c>
      <c r="S39" s="14" t="s">
        <v>1074</v>
      </c>
      <c r="U39" s="14" t="s">
        <v>568</v>
      </c>
      <c r="W39" s="14" t="s">
        <v>434</v>
      </c>
      <c r="Z39" s="14" t="s">
        <v>442</v>
      </c>
      <c r="AB39" s="14" t="s">
        <v>408</v>
      </c>
      <c r="AH39" s="14" t="s">
        <v>751</v>
      </c>
      <c r="AL39" s="14" t="s">
        <v>771</v>
      </c>
      <c r="AN39" s="14" t="s">
        <v>648</v>
      </c>
      <c r="AO39" s="14" t="s">
        <v>1266</v>
      </c>
    </row>
    <row r="40" spans="1:41" s="14" customFormat="1" ht="60" x14ac:dyDescent="0.25">
      <c r="A40" s="14" t="s">
        <v>676</v>
      </c>
      <c r="B40" s="14" t="s">
        <v>1047</v>
      </c>
      <c r="C40" s="14" t="str">
        <f t="shared" si="6"/>
        <v>iwh:strat-PLMA</v>
      </c>
      <c r="D40" s="14" t="str">
        <f t="shared" si="10"/>
        <v>Plenus Marls Member of Holywell Nodular Chalk Formation, Chalk Group</v>
      </c>
      <c r="E40" s="14" t="str">
        <f t="shared" si="0"/>
        <v>iwh:strat-HCK</v>
      </c>
      <c r="F40" s="14" t="s">
        <v>387</v>
      </c>
      <c r="G40" s="14" t="s">
        <v>154</v>
      </c>
      <c r="H40" s="14" t="s">
        <v>547</v>
      </c>
      <c r="I40" s="14" t="s">
        <v>556</v>
      </c>
      <c r="J40" s="14" t="s">
        <v>568</v>
      </c>
      <c r="K40" s="14" t="s">
        <v>570</v>
      </c>
      <c r="R40" s="14" t="s">
        <v>1071</v>
      </c>
      <c r="S40" s="14" t="s">
        <v>1073</v>
      </c>
      <c r="U40" s="14" t="s">
        <v>548</v>
      </c>
      <c r="W40" s="14" t="s">
        <v>436</v>
      </c>
      <c r="Z40" s="14" t="s">
        <v>563</v>
      </c>
      <c r="AB40" s="14" t="s">
        <v>564</v>
      </c>
      <c r="AH40" s="14" t="s">
        <v>571</v>
      </c>
      <c r="AL40" s="14" t="s">
        <v>771</v>
      </c>
      <c r="AN40" s="14" t="s">
        <v>648</v>
      </c>
      <c r="AO40" s="14" t="s">
        <v>1266</v>
      </c>
    </row>
    <row r="41" spans="1:41" s="14" customFormat="1" ht="45" x14ac:dyDescent="0.25">
      <c r="A41" s="14" t="s">
        <v>676</v>
      </c>
      <c r="B41" s="14" t="s">
        <v>1046</v>
      </c>
      <c r="C41" s="14" t="str">
        <f t="shared" si="6"/>
        <v>iwh:strat-ZZCH</v>
      </c>
      <c r="D41" s="14" t="str">
        <f t="shared" si="10"/>
        <v>Zig Zag Chalk Formation, Chalk Group</v>
      </c>
      <c r="E41" s="14" t="str">
        <f t="shared" si="0"/>
        <v>iwh:strat-CK</v>
      </c>
      <c r="F41" s="14" t="s">
        <v>387</v>
      </c>
      <c r="G41" s="14" t="s">
        <v>154</v>
      </c>
      <c r="H41" s="14" t="s">
        <v>548</v>
      </c>
      <c r="I41" s="14" t="s">
        <v>557</v>
      </c>
      <c r="R41" s="14" t="s">
        <v>1072</v>
      </c>
      <c r="S41" s="14" t="s">
        <v>1071</v>
      </c>
      <c r="U41" s="14" t="s">
        <v>549</v>
      </c>
      <c r="W41" s="14" t="s">
        <v>434</v>
      </c>
      <c r="Z41" s="14" t="s">
        <v>442</v>
      </c>
      <c r="AB41" s="14" t="s">
        <v>408</v>
      </c>
      <c r="AC41" s="14" t="s">
        <v>563</v>
      </c>
      <c r="AE41" s="14" t="s">
        <v>564</v>
      </c>
      <c r="AH41" s="14" t="s">
        <v>572</v>
      </c>
      <c r="AL41" s="14" t="s">
        <v>924</v>
      </c>
      <c r="AN41" s="14" t="s">
        <v>648</v>
      </c>
      <c r="AO41" s="14" t="s">
        <v>1266</v>
      </c>
    </row>
    <row r="42" spans="1:41" s="14" customFormat="1" ht="60" x14ac:dyDescent="0.25">
      <c r="A42" s="14" t="s">
        <v>676</v>
      </c>
      <c r="B42" s="14" t="s">
        <v>1046</v>
      </c>
      <c r="C42" s="14" t="str">
        <f t="shared" si="6"/>
        <v>iwh:strat-WMCH</v>
      </c>
      <c r="D42" s="14" t="str">
        <f t="shared" si="10"/>
        <v>West Melbury Marly Chalk Formation, Chalk Group</v>
      </c>
      <c r="E42" s="14" t="str">
        <f t="shared" si="0"/>
        <v>iwh:strat-CK</v>
      </c>
      <c r="F42" s="14" t="s">
        <v>387</v>
      </c>
      <c r="G42" s="14" t="s">
        <v>154</v>
      </c>
      <c r="H42" s="14" t="s">
        <v>549</v>
      </c>
      <c r="I42" s="14" t="s">
        <v>558</v>
      </c>
      <c r="R42" s="14" t="s">
        <v>1070</v>
      </c>
      <c r="S42" s="14" t="s">
        <v>1072</v>
      </c>
      <c r="U42" s="14" t="s">
        <v>581</v>
      </c>
      <c r="W42" s="14" t="s">
        <v>436</v>
      </c>
      <c r="Z42" s="14" t="s">
        <v>442</v>
      </c>
      <c r="AB42" s="14" t="s">
        <v>408</v>
      </c>
      <c r="AC42" s="14" t="s">
        <v>563</v>
      </c>
      <c r="AE42" s="14" t="s">
        <v>564</v>
      </c>
      <c r="AH42" s="14" t="s">
        <v>573</v>
      </c>
      <c r="AL42" s="14" t="s">
        <v>923</v>
      </c>
      <c r="AN42" s="14" t="s">
        <v>648</v>
      </c>
      <c r="AO42" s="14" t="s">
        <v>1266</v>
      </c>
    </row>
    <row r="43" spans="1:41" s="14" customFormat="1" ht="75" x14ac:dyDescent="0.25">
      <c r="A43" s="14" t="s">
        <v>676</v>
      </c>
      <c r="B43" s="14" t="s">
        <v>1047</v>
      </c>
      <c r="C43" s="14" t="str">
        <f t="shared" si="6"/>
        <v>iwh:strat-GLML</v>
      </c>
      <c r="D43" s="14" t="str">
        <f t="shared" si="10"/>
        <v>Glauconitic Marl Member of West Melbury Marly Chalk Formation, Chalk Group</v>
      </c>
      <c r="E43" s="14" t="str">
        <f t="shared" si="0"/>
        <v>iwh:strat-WMCH</v>
      </c>
      <c r="F43" s="14" t="s">
        <v>387</v>
      </c>
      <c r="G43" s="14" t="s">
        <v>154</v>
      </c>
      <c r="H43" s="14" t="s">
        <v>549</v>
      </c>
      <c r="I43" s="14" t="s">
        <v>558</v>
      </c>
      <c r="J43" s="14" t="s">
        <v>574</v>
      </c>
      <c r="K43" s="14" t="s">
        <v>575</v>
      </c>
      <c r="R43" s="14" t="s">
        <v>1070</v>
      </c>
      <c r="S43" s="14" t="s">
        <v>1069</v>
      </c>
      <c r="U43" s="14" t="s">
        <v>581</v>
      </c>
      <c r="W43" s="14" t="s">
        <v>436</v>
      </c>
      <c r="Z43" s="14" t="s">
        <v>563</v>
      </c>
      <c r="AB43" s="14" t="s">
        <v>564</v>
      </c>
      <c r="AH43" s="14" t="s">
        <v>576</v>
      </c>
      <c r="AL43" s="14" t="s">
        <v>922</v>
      </c>
      <c r="AN43" s="14" t="s">
        <v>648</v>
      </c>
      <c r="AO43" s="14" t="s">
        <v>1266</v>
      </c>
    </row>
    <row r="44" spans="1:41" s="14" customFormat="1" ht="45" x14ac:dyDescent="0.25">
      <c r="A44" s="14" t="s">
        <v>676</v>
      </c>
      <c r="B44" s="14" t="s">
        <v>1048</v>
      </c>
      <c r="C44" s="14" t="str">
        <f t="shared" si="6"/>
        <v>iwh:strat-SELB</v>
      </c>
      <c r="D44" s="14" t="str">
        <f t="shared" si="10"/>
        <v>Selborne Group Group</v>
      </c>
      <c r="E44" s="14" t="str">
        <f t="shared" si="0"/>
        <v/>
      </c>
      <c r="F44" s="14" t="s">
        <v>578</v>
      </c>
      <c r="G44" s="14" t="s">
        <v>577</v>
      </c>
      <c r="R44" s="14" t="s">
        <v>1083</v>
      </c>
      <c r="S44" s="14" t="s">
        <v>1070</v>
      </c>
      <c r="U44" s="14" t="s">
        <v>588</v>
      </c>
      <c r="W44" s="14" t="s">
        <v>436</v>
      </c>
      <c r="Z44" s="14" t="s">
        <v>443</v>
      </c>
      <c r="AB44" s="14" t="s">
        <v>405</v>
      </c>
      <c r="AC44" s="14" t="s">
        <v>449</v>
      </c>
      <c r="AE44" s="14" t="s">
        <v>402</v>
      </c>
      <c r="AH44" s="14" t="s">
        <v>579</v>
      </c>
      <c r="AL44" s="14" t="s">
        <v>921</v>
      </c>
      <c r="AN44" s="14" t="s">
        <v>667</v>
      </c>
      <c r="AO44" s="14" t="s">
        <v>1266</v>
      </c>
    </row>
    <row r="45" spans="1:41" s="14" customFormat="1" ht="45" x14ac:dyDescent="0.25">
      <c r="A45" s="14" t="s">
        <v>676</v>
      </c>
      <c r="B45" s="14" t="s">
        <v>1046</v>
      </c>
      <c r="C45" s="14" t="str">
        <f t="shared" si="6"/>
        <v>iwh:strat-UGS</v>
      </c>
      <c r="D45" s="14" t="str">
        <f t="shared" si="10"/>
        <v>Upper Greensand Formation, Selborne Group Group</v>
      </c>
      <c r="E45" s="14" t="str">
        <f t="shared" si="0"/>
        <v>iwh:strat-SELB</v>
      </c>
      <c r="F45" s="14" t="s">
        <v>578</v>
      </c>
      <c r="G45" s="14" t="s">
        <v>577</v>
      </c>
      <c r="H45" s="14" t="s">
        <v>581</v>
      </c>
      <c r="I45" s="14" t="s">
        <v>582</v>
      </c>
      <c r="R45" s="14" t="str">
        <f>"iwh:Base"&amp;TRIM(SUBSTITUTE(H45," ",""))</f>
        <v>iwh:BaseUpperGreensand</v>
      </c>
      <c r="S45" s="14" t="s">
        <v>1070</v>
      </c>
      <c r="W45" s="14" t="s">
        <v>583</v>
      </c>
      <c r="Z45" s="14" t="s">
        <v>445</v>
      </c>
      <c r="AB45" s="14" t="s">
        <v>407</v>
      </c>
      <c r="AC45" s="14" t="s">
        <v>450</v>
      </c>
      <c r="AE45" s="14" t="s">
        <v>400</v>
      </c>
      <c r="AH45" s="14" t="s">
        <v>584</v>
      </c>
      <c r="AL45" s="14" t="s">
        <v>919</v>
      </c>
      <c r="AN45" s="14" t="s">
        <v>650</v>
      </c>
      <c r="AO45" s="14" t="s">
        <v>1266</v>
      </c>
    </row>
    <row r="46" spans="1:41" s="14" customFormat="1" ht="45" x14ac:dyDescent="0.25">
      <c r="A46" s="14" t="s">
        <v>676</v>
      </c>
      <c r="B46" s="14" t="s">
        <v>1046</v>
      </c>
      <c r="C46" s="14" t="str">
        <f t="shared" si="6"/>
        <v>iwh:strat-GLT</v>
      </c>
      <c r="D46" s="14" t="str">
        <f t="shared" si="10"/>
        <v>Gault Formation, Selborne Group Group</v>
      </c>
      <c r="E46" s="14" t="str">
        <f t="shared" si="0"/>
        <v>iwh:strat-SELB</v>
      </c>
      <c r="F46" s="14" t="s">
        <v>578</v>
      </c>
      <c r="G46" s="14" t="s">
        <v>577</v>
      </c>
      <c r="H46" s="14" t="s">
        <v>585</v>
      </c>
      <c r="I46" s="14" t="s">
        <v>586</v>
      </c>
      <c r="R46" s="14" t="s">
        <v>1083</v>
      </c>
      <c r="S46" s="14" t="s">
        <v>1084</v>
      </c>
      <c r="W46" s="14" t="s">
        <v>436</v>
      </c>
      <c r="Z46" s="14" t="s">
        <v>449</v>
      </c>
      <c r="AB46" s="14" t="s">
        <v>402</v>
      </c>
      <c r="AH46" s="14" t="s">
        <v>587</v>
      </c>
      <c r="AL46" s="14" t="s">
        <v>920</v>
      </c>
      <c r="AN46" s="14" t="s">
        <v>666</v>
      </c>
      <c r="AO46" s="14" t="s">
        <v>1266</v>
      </c>
    </row>
    <row r="47" spans="1:41" s="14" customFormat="1" ht="45" x14ac:dyDescent="0.25">
      <c r="A47" s="14" t="s">
        <v>676</v>
      </c>
      <c r="B47" s="14" t="s">
        <v>1048</v>
      </c>
      <c r="C47" s="14" t="str">
        <f t="shared" si="6"/>
        <v>iwh:strat-LGS</v>
      </c>
      <c r="D47" s="14" t="str">
        <f t="shared" si="10"/>
        <v>Lower Greensand Group</v>
      </c>
      <c r="E47" s="14" t="str">
        <f t="shared" si="0"/>
        <v/>
      </c>
      <c r="F47" s="14" t="s">
        <v>588</v>
      </c>
      <c r="G47" s="14" t="s">
        <v>589</v>
      </c>
      <c r="R47" s="14" t="s">
        <v>1078</v>
      </c>
      <c r="W47" s="14" t="s">
        <v>436</v>
      </c>
      <c r="Z47" s="14" t="s">
        <v>443</v>
      </c>
      <c r="AB47" s="14" t="s">
        <v>405</v>
      </c>
      <c r="AC47" s="14" t="s">
        <v>450</v>
      </c>
      <c r="AE47" s="14" t="s">
        <v>400</v>
      </c>
      <c r="AL47" s="14" t="s">
        <v>918</v>
      </c>
      <c r="AN47" s="14" t="s">
        <v>580</v>
      </c>
      <c r="AO47" s="14" t="s">
        <v>1266</v>
      </c>
    </row>
    <row r="48" spans="1:41" s="14" customFormat="1" ht="45" x14ac:dyDescent="0.25">
      <c r="A48" s="14" t="s">
        <v>676</v>
      </c>
      <c r="B48" s="14" t="s">
        <v>1046</v>
      </c>
      <c r="C48" s="14" t="str">
        <f t="shared" si="6"/>
        <v>iwh:strat-MBSA</v>
      </c>
      <c r="D48" s="14" t="str">
        <f t="shared" si="10"/>
        <v>Monk's Bay Sandstone Formation, Lower Greensand Group</v>
      </c>
      <c r="E48" s="14" t="str">
        <f t="shared" si="0"/>
        <v>iwh:strat-LGS</v>
      </c>
      <c r="F48" s="14" t="s">
        <v>588</v>
      </c>
      <c r="G48" s="14" t="s">
        <v>589</v>
      </c>
      <c r="H48" s="14" t="s">
        <v>590</v>
      </c>
      <c r="I48" s="14" t="s">
        <v>591</v>
      </c>
      <c r="R48" s="14" t="s">
        <v>1079</v>
      </c>
      <c r="W48" s="14" t="s">
        <v>702</v>
      </c>
      <c r="Z48" s="14" t="s">
        <v>443</v>
      </c>
      <c r="AB48" s="14" t="s">
        <v>405</v>
      </c>
      <c r="AH48" s="14" t="s">
        <v>592</v>
      </c>
      <c r="AL48" s="14" t="s">
        <v>917</v>
      </c>
      <c r="AN48" s="14" t="s">
        <v>580</v>
      </c>
      <c r="AO48" s="14" t="s">
        <v>1266</v>
      </c>
    </row>
    <row r="49" spans="1:41" s="14" customFormat="1" ht="45" x14ac:dyDescent="0.25">
      <c r="A49" s="14" t="s">
        <v>676</v>
      </c>
      <c r="B49" s="14" t="s">
        <v>1046</v>
      </c>
      <c r="C49" s="14" t="str">
        <f t="shared" si="6"/>
        <v>iwh:strat-SIOW</v>
      </c>
      <c r="D49" s="14" t="str">
        <f t="shared" si="10"/>
        <v>Sandrock Formation, Lower Greensand Group</v>
      </c>
      <c r="E49" s="14" t="str">
        <f t="shared" si="0"/>
        <v>iwh:strat-LGS</v>
      </c>
      <c r="F49" s="14" t="s">
        <v>588</v>
      </c>
      <c r="G49" s="14" t="s">
        <v>589</v>
      </c>
      <c r="H49" s="14" t="s">
        <v>593</v>
      </c>
      <c r="I49" s="14" t="s">
        <v>594</v>
      </c>
      <c r="R49" s="14" t="s">
        <v>1080</v>
      </c>
      <c r="S49" s="14" t="s">
        <v>1079</v>
      </c>
      <c r="W49" s="14" t="s">
        <v>753</v>
      </c>
      <c r="Z49" s="14" t="s">
        <v>443</v>
      </c>
      <c r="AB49" s="14" t="s">
        <v>405</v>
      </c>
      <c r="AC49" s="14" t="s">
        <v>451</v>
      </c>
      <c r="AE49" s="14" t="s">
        <v>401</v>
      </c>
      <c r="AH49" s="14" t="s">
        <v>595</v>
      </c>
      <c r="AL49" s="14" t="s">
        <v>916</v>
      </c>
      <c r="AN49" s="14" t="s">
        <v>669</v>
      </c>
      <c r="AO49" s="14" t="s">
        <v>1266</v>
      </c>
    </row>
    <row r="50" spans="1:41" s="14" customFormat="1" ht="45" x14ac:dyDescent="0.25">
      <c r="A50" s="14" t="s">
        <v>676</v>
      </c>
      <c r="B50" s="14" t="s">
        <v>1046</v>
      </c>
      <c r="C50" s="14" t="str">
        <f t="shared" si="6"/>
        <v>iwh:strat-FRS</v>
      </c>
      <c r="D50" s="14" t="str">
        <f t="shared" si="10"/>
        <v>Ferruginous Sands Formation, Lower Greensand Group</v>
      </c>
      <c r="E50" s="14" t="str">
        <f t="shared" si="0"/>
        <v>iwh:strat-LGS</v>
      </c>
      <c r="F50" s="14" t="s">
        <v>588</v>
      </c>
      <c r="G50" s="14" t="s">
        <v>589</v>
      </c>
      <c r="H50" s="14" t="s">
        <v>596</v>
      </c>
      <c r="I50" s="14" t="s">
        <v>597</v>
      </c>
      <c r="R50" s="14" t="s">
        <v>1081</v>
      </c>
      <c r="S50" s="14" t="s">
        <v>1080</v>
      </c>
      <c r="W50" s="14" t="s">
        <v>434</v>
      </c>
      <c r="Z50" s="14" t="s">
        <v>450</v>
      </c>
      <c r="AB50" s="14" t="s">
        <v>400</v>
      </c>
      <c r="AC50" s="14" t="s">
        <v>445</v>
      </c>
      <c r="AE50" s="14" t="s">
        <v>407</v>
      </c>
      <c r="AH50" s="14" t="s">
        <v>598</v>
      </c>
      <c r="AL50" s="14" t="s">
        <v>915</v>
      </c>
      <c r="AN50" s="14" t="s">
        <v>668</v>
      </c>
      <c r="AO50" s="14" t="s">
        <v>1266</v>
      </c>
    </row>
    <row r="51" spans="1:41" s="14" customFormat="1" ht="45" x14ac:dyDescent="0.25">
      <c r="A51" s="14" t="s">
        <v>676</v>
      </c>
      <c r="B51" s="14" t="s">
        <v>1046</v>
      </c>
      <c r="C51" s="14" t="str">
        <f t="shared" si="6"/>
        <v>iwh:strat-AC</v>
      </c>
      <c r="D51" s="14" t="str">
        <f t="shared" si="10"/>
        <v>Atherfield Clay Formation, Lower Greensand Group</v>
      </c>
      <c r="E51" s="14" t="str">
        <f t="shared" si="0"/>
        <v>iwh:strat-LGS</v>
      </c>
      <c r="F51" s="14" t="s">
        <v>588</v>
      </c>
      <c r="G51" s="14" t="s">
        <v>589</v>
      </c>
      <c r="H51" s="14" t="s">
        <v>599</v>
      </c>
      <c r="I51" s="14" t="s">
        <v>28</v>
      </c>
      <c r="R51" s="14" t="s">
        <v>1078</v>
      </c>
      <c r="S51" s="14" t="s">
        <v>1081</v>
      </c>
      <c r="W51" s="14" t="s">
        <v>436</v>
      </c>
      <c r="Z51" s="14" t="s">
        <v>449</v>
      </c>
      <c r="AB51" s="14" t="s">
        <v>400</v>
      </c>
      <c r="AC51" s="14" t="s">
        <v>450</v>
      </c>
      <c r="AE51" s="14" t="s">
        <v>400</v>
      </c>
      <c r="AH51" s="14" t="s">
        <v>600</v>
      </c>
      <c r="AL51" s="14" t="s">
        <v>914</v>
      </c>
      <c r="AN51" s="14" t="s">
        <v>580</v>
      </c>
      <c r="AO51" s="14" t="s">
        <v>1266</v>
      </c>
    </row>
    <row r="52" spans="1:41" s="14" customFormat="1" ht="30" x14ac:dyDescent="0.25">
      <c r="A52" s="14" t="s">
        <v>676</v>
      </c>
      <c r="B52" s="14" t="s">
        <v>1046</v>
      </c>
      <c r="C52" s="14" t="str">
        <f t="shared" si="6"/>
        <v>iwh:strat-KC</v>
      </c>
      <c r="D52" s="14" t="str">
        <f t="shared" si="10"/>
        <v xml:space="preserve">Kimmeridge Clay Formation, </v>
      </c>
      <c r="E52" s="14" t="str">
        <f xml:space="preserve"> IF(ISBLANK(J52),IF(ISBLANK(H52), "",  IF(ISBLANK(F52),"","iwh:strat-"&amp;G52)),  "iwh:strat-"&amp;I52)</f>
        <v/>
      </c>
      <c r="H52" s="14" t="s">
        <v>613</v>
      </c>
      <c r="I52" s="14" t="s">
        <v>115</v>
      </c>
      <c r="R52" s="14" t="s">
        <v>1082</v>
      </c>
      <c r="U52" s="14" t="s">
        <v>615</v>
      </c>
      <c r="W52" s="14" t="s">
        <v>755</v>
      </c>
      <c r="Z52" s="14" t="s">
        <v>449</v>
      </c>
      <c r="AB52" s="14" t="s">
        <v>402</v>
      </c>
      <c r="AC52" s="14" t="s">
        <v>563</v>
      </c>
      <c r="AE52" s="14" t="s">
        <v>564</v>
      </c>
      <c r="AH52" s="14" t="s">
        <v>614</v>
      </c>
      <c r="AL52" s="14" t="s">
        <v>913</v>
      </c>
      <c r="AN52" s="14" t="s">
        <v>646</v>
      </c>
      <c r="AO52" s="14" t="s">
        <v>1266</v>
      </c>
    </row>
    <row r="53" spans="1:41" s="14" customFormat="1" ht="30" x14ac:dyDescent="0.25">
      <c r="A53" s="14" t="s">
        <v>676</v>
      </c>
      <c r="B53" s="14" t="s">
        <v>1048</v>
      </c>
      <c r="C53" s="14" t="str">
        <f t="shared" si="6"/>
        <v>iwh:strat-CR</v>
      </c>
      <c r="D53" s="14" t="str">
        <f t="shared" si="10"/>
        <v>Corallian Group</v>
      </c>
      <c r="E53" s="14" t="str">
        <f xml:space="preserve"> IF(ISBLANK(J53),IF(ISBLANK(H53), "",  IF(ISBLANK(F53),"","iwh:strat-"&amp;G53)),  "iwh:strat-"&amp;I53)</f>
        <v/>
      </c>
      <c r="F53" s="14" t="s">
        <v>615</v>
      </c>
      <c r="G53" s="14" t="s">
        <v>160</v>
      </c>
      <c r="R53" s="14" t="str">
        <f>"iwh:Base"&amp;TRIM(SUBSTITUTE(F53," ",""))</f>
        <v>iwh:BaseCorallian</v>
      </c>
      <c r="U53" s="14" t="s">
        <v>617</v>
      </c>
      <c r="W53" s="14" t="s">
        <v>755</v>
      </c>
      <c r="Z53" s="14" t="s">
        <v>563</v>
      </c>
      <c r="AB53" s="14" t="s">
        <v>564</v>
      </c>
      <c r="AC53" s="14" t="s">
        <v>437</v>
      </c>
      <c r="AE53" s="14" t="s">
        <v>409</v>
      </c>
      <c r="AH53" s="14" t="s">
        <v>616</v>
      </c>
      <c r="AL53" s="14" t="s">
        <v>912</v>
      </c>
      <c r="AN53" s="14" t="s">
        <v>580</v>
      </c>
      <c r="AO53" s="14" t="s">
        <v>1266</v>
      </c>
    </row>
    <row r="54" spans="1:41" s="14" customFormat="1" ht="30" x14ac:dyDescent="0.25">
      <c r="A54" s="14" t="s">
        <v>676</v>
      </c>
      <c r="B54" s="14" t="s">
        <v>1046</v>
      </c>
      <c r="C54" s="14" t="str">
        <f t="shared" si="6"/>
        <v>iwh:strat-OXC</v>
      </c>
      <c r="D54" s="14" t="str">
        <f t="shared" si="10"/>
        <v xml:space="preserve">Oxford Clay Formation, </v>
      </c>
      <c r="E54" s="14" t="str">
        <f xml:space="preserve"> IF(ISBLANK(J54),IF(ISBLANK(H54), "",  IF(ISBLANK(F54),"","iwh:strat-"&amp;G54)),  "iwh:strat-"&amp;I54)</f>
        <v/>
      </c>
      <c r="H54" s="14" t="s">
        <v>617</v>
      </c>
      <c r="I54" s="14" t="s">
        <v>618</v>
      </c>
      <c r="R54" s="14" t="str">
        <f>"iwh:Base"&amp;TRIM(SUBSTITUTE(H54," ",""))</f>
        <v>iwh:BaseOxfordClay</v>
      </c>
      <c r="U54" s="14" t="s">
        <v>620</v>
      </c>
      <c r="W54" s="14" t="s">
        <v>755</v>
      </c>
      <c r="Z54" s="14" t="s">
        <v>449</v>
      </c>
      <c r="AB54" s="14" t="s">
        <v>402</v>
      </c>
      <c r="AC54" s="14" t="s">
        <v>446</v>
      </c>
      <c r="AE54" s="14" t="s">
        <v>399</v>
      </c>
      <c r="AH54" s="14" t="s">
        <v>619</v>
      </c>
      <c r="AL54" s="14" t="s">
        <v>911</v>
      </c>
      <c r="AN54" s="14" t="s">
        <v>666</v>
      </c>
      <c r="AO54" s="14" t="s">
        <v>1266</v>
      </c>
    </row>
    <row r="55" spans="1:41" s="14" customFormat="1" x14ac:dyDescent="0.25">
      <c r="A55" s="14" t="s">
        <v>676</v>
      </c>
      <c r="B55" s="14" t="s">
        <v>1046</v>
      </c>
      <c r="C55" s="14" t="str">
        <f t="shared" si="6"/>
        <v>iwh:strat-KLB</v>
      </c>
      <c r="D55" s="14" t="str">
        <f t="shared" si="10"/>
        <v xml:space="preserve">Kellaways Formation, </v>
      </c>
      <c r="E55" s="14" t="str">
        <f xml:space="preserve"> IF(ISBLANK(J55),IF(ISBLANK(H55), "",  IF(ISBLANK(F55),"","iwh:strat-"&amp;G55)),  "iwh:strat-"&amp;I55)</f>
        <v/>
      </c>
      <c r="H55" s="14" t="s">
        <v>620</v>
      </c>
      <c r="I55" s="14" t="s">
        <v>621</v>
      </c>
      <c r="R55" s="14" t="str">
        <f>"iwh:Base"&amp;TRIM(SUBSTITUTE(H55," ",""))</f>
        <v>iwh:BaseKellaways</v>
      </c>
      <c r="U55" s="14" t="s">
        <v>626</v>
      </c>
      <c r="W55" s="14" t="s">
        <v>755</v>
      </c>
      <c r="Z55" s="14" t="s">
        <v>446</v>
      </c>
      <c r="AB55" s="14" t="s">
        <v>399</v>
      </c>
      <c r="AC55" s="14" t="s">
        <v>443</v>
      </c>
      <c r="AE55" s="14" t="s">
        <v>405</v>
      </c>
      <c r="AH55" s="14" t="s">
        <v>622</v>
      </c>
      <c r="AL55" s="14" t="s">
        <v>906</v>
      </c>
      <c r="AN55" s="14" t="s">
        <v>580</v>
      </c>
      <c r="AO55" s="14" t="s">
        <v>1266</v>
      </c>
    </row>
    <row r="56" spans="1:41" s="14" customFormat="1" ht="30" x14ac:dyDescent="0.25">
      <c r="A56" s="14" t="s">
        <v>676</v>
      </c>
      <c r="B56" s="14" t="s">
        <v>1048</v>
      </c>
      <c r="C56" s="14" t="str">
        <f t="shared" si="6"/>
        <v>iwh:strat-GOG</v>
      </c>
      <c r="D56" s="14" t="str">
        <f t="shared" si="10"/>
        <v>Great Oolite Group</v>
      </c>
      <c r="E56" s="14" t="str">
        <f t="shared" ref="E56:E63" si="11" xml:space="preserve"> IF(ISBLANK(J56),IF(ISBLANK(H56), IF(ISBLANK(F56),"", ""), "iwh:strat-"&amp;G56),  "iwh:strat-"&amp;I56)</f>
        <v/>
      </c>
      <c r="F56" s="14" t="s">
        <v>623</v>
      </c>
      <c r="G56" s="14" t="s">
        <v>624</v>
      </c>
      <c r="R56" s="14" t="str">
        <f>"iwh:Base"&amp;TRIM(SUBSTITUTE(F56," ",""))</f>
        <v>iwh:BaseGreatOolite</v>
      </c>
      <c r="U56" s="14" t="s">
        <v>627</v>
      </c>
      <c r="W56" s="14" t="s">
        <v>755</v>
      </c>
      <c r="Z56" s="14" t="s">
        <v>437</v>
      </c>
      <c r="AB56" s="14" t="s">
        <v>409</v>
      </c>
      <c r="AC56" s="14" t="s">
        <v>563</v>
      </c>
      <c r="AE56" s="14" t="s">
        <v>564</v>
      </c>
      <c r="AH56" s="14" t="s">
        <v>625</v>
      </c>
      <c r="AL56" s="14" t="s">
        <v>910</v>
      </c>
      <c r="AN56" s="14" t="s">
        <v>580</v>
      </c>
      <c r="AO56" s="14" t="s">
        <v>1266</v>
      </c>
    </row>
    <row r="57" spans="1:41" s="14" customFormat="1" ht="30" x14ac:dyDescent="0.25">
      <c r="A57" s="14" t="s">
        <v>676</v>
      </c>
      <c r="B57" s="14" t="s">
        <v>1046</v>
      </c>
      <c r="C57" s="14" t="str">
        <f t="shared" si="6"/>
        <v>iwh:strat-CB</v>
      </c>
      <c r="D57" s="14" t="str">
        <f t="shared" si="10"/>
        <v>Cornbrash Formation, Great Oolite Group</v>
      </c>
      <c r="E57" s="14" t="str">
        <f t="shared" si="11"/>
        <v>iwh:strat-GOG</v>
      </c>
      <c r="F57" s="14" t="s">
        <v>623</v>
      </c>
      <c r="G57" s="14" t="s">
        <v>624</v>
      </c>
      <c r="H57" s="14" t="s">
        <v>626</v>
      </c>
      <c r="I57" s="14" t="s">
        <v>150</v>
      </c>
      <c r="R57" s="14" t="str">
        <f>"iwh:Base"&amp;TRIM(SUBSTITUTE(H57," ",""))</f>
        <v>iwh:BaseCornbrash</v>
      </c>
      <c r="U57" s="14" t="s">
        <v>623</v>
      </c>
      <c r="W57" s="14" t="s">
        <v>755</v>
      </c>
      <c r="Z57" s="14" t="s">
        <v>437</v>
      </c>
      <c r="AB57" s="14" t="s">
        <v>409</v>
      </c>
      <c r="AC57" s="14" t="s">
        <v>563</v>
      </c>
      <c r="AE57" s="14" t="s">
        <v>564</v>
      </c>
      <c r="AH57" s="14" t="s">
        <v>470</v>
      </c>
      <c r="AL57" s="14" t="s">
        <v>909</v>
      </c>
      <c r="AN57" s="14" t="s">
        <v>580</v>
      </c>
      <c r="AO57" s="14" t="s">
        <v>1266</v>
      </c>
    </row>
    <row r="58" spans="1:41" s="14" customFormat="1" ht="30" x14ac:dyDescent="0.25">
      <c r="A58" s="14" t="s">
        <v>676</v>
      </c>
      <c r="B58" s="14" t="s">
        <v>1048</v>
      </c>
      <c r="C58" s="14" t="str">
        <f t="shared" si="6"/>
        <v>iwh:strat-INO</v>
      </c>
      <c r="D58" s="14" t="str">
        <f t="shared" si="10"/>
        <v>Inferior Oolite Group</v>
      </c>
      <c r="E58" s="14" t="str">
        <f t="shared" si="11"/>
        <v/>
      </c>
      <c r="F58" s="14" t="s">
        <v>627</v>
      </c>
      <c r="G58" s="14" t="s">
        <v>628</v>
      </c>
      <c r="R58" s="14" t="str">
        <f>"iwh:Base"&amp;TRIM(SUBSTITUTE(F58," ",""))</f>
        <v>iwh:BaseInferiorOolite</v>
      </c>
      <c r="U58" s="14" t="s">
        <v>629</v>
      </c>
      <c r="W58" s="14" t="s">
        <v>755</v>
      </c>
      <c r="Z58" s="14" t="s">
        <v>437</v>
      </c>
      <c r="AB58" s="14" t="s">
        <v>409</v>
      </c>
      <c r="AC58" s="14" t="s">
        <v>563</v>
      </c>
      <c r="AE58" s="14" t="s">
        <v>564</v>
      </c>
      <c r="AL58" s="14" t="s">
        <v>908</v>
      </c>
      <c r="AN58" s="14" t="s">
        <v>580</v>
      </c>
      <c r="AO58" s="14" t="s">
        <v>1266</v>
      </c>
    </row>
    <row r="59" spans="1:41" s="14" customFormat="1" x14ac:dyDescent="0.25">
      <c r="A59" s="14" t="s">
        <v>676</v>
      </c>
      <c r="B59" s="14" t="s">
        <v>1048</v>
      </c>
      <c r="C59" s="14" t="str">
        <f t="shared" si="6"/>
        <v>iwh:strat-LI</v>
      </c>
      <c r="D59" s="14" t="str">
        <f t="shared" si="10"/>
        <v>Lias Group</v>
      </c>
      <c r="E59" s="14" t="str">
        <f t="shared" si="11"/>
        <v/>
      </c>
      <c r="F59" s="14" t="s">
        <v>629</v>
      </c>
      <c r="G59" s="14" t="s">
        <v>630</v>
      </c>
      <c r="R59" s="14" t="str">
        <f>"iwh:Base"&amp;TRIM(SUBSTITUTE(F59," ",""))</f>
        <v>iwh:BaseLias</v>
      </c>
      <c r="U59" s="14" t="s">
        <v>632</v>
      </c>
      <c r="W59" s="14" t="s">
        <v>755</v>
      </c>
      <c r="Z59" s="14" t="s">
        <v>447</v>
      </c>
      <c r="AB59" s="14" t="s">
        <v>404</v>
      </c>
      <c r="AC59" s="14" t="s">
        <v>449</v>
      </c>
      <c r="AE59" s="14" t="s">
        <v>402</v>
      </c>
      <c r="AH59" s="14" t="s">
        <v>750</v>
      </c>
      <c r="AL59" s="14" t="s">
        <v>907</v>
      </c>
      <c r="AN59" s="14" t="s">
        <v>666</v>
      </c>
      <c r="AO59" s="14" t="s">
        <v>1266</v>
      </c>
    </row>
    <row r="60" spans="1:41" s="14" customFormat="1" ht="30" x14ac:dyDescent="0.25">
      <c r="A60" s="14" t="s">
        <v>676</v>
      </c>
      <c r="B60" s="14" t="s">
        <v>1048</v>
      </c>
      <c r="C60" s="14" t="str">
        <f t="shared" si="6"/>
        <v>iwh:strat-PNG</v>
      </c>
      <c r="D60" s="14" t="str">
        <f t="shared" si="10"/>
        <v>Penarth Group</v>
      </c>
      <c r="E60" s="14" t="str">
        <f t="shared" si="11"/>
        <v/>
      </c>
      <c r="F60" s="14" t="s">
        <v>632</v>
      </c>
      <c r="G60" s="14" t="s">
        <v>633</v>
      </c>
      <c r="R60" s="14" t="str">
        <f>"iwh:Base"&amp;TRIM(SUBSTITUTE(F60," ",""))</f>
        <v>iwh:BasePenarth</v>
      </c>
      <c r="U60" s="14" t="s">
        <v>638</v>
      </c>
      <c r="W60" s="14" t="s">
        <v>755</v>
      </c>
      <c r="Z60" s="14" t="s">
        <v>449</v>
      </c>
      <c r="AB60" s="14" t="s">
        <v>402</v>
      </c>
      <c r="AC60" s="14" t="s">
        <v>437</v>
      </c>
      <c r="AE60" s="14" t="s">
        <v>409</v>
      </c>
      <c r="AL60" s="14" t="s">
        <v>906</v>
      </c>
      <c r="AN60" s="14" t="s">
        <v>580</v>
      </c>
      <c r="AO60" s="14" t="s">
        <v>1266</v>
      </c>
    </row>
    <row r="61" spans="1:41" s="14" customFormat="1" ht="45" x14ac:dyDescent="0.25">
      <c r="A61" s="14" t="s">
        <v>676</v>
      </c>
      <c r="B61" s="14" t="s">
        <v>1048</v>
      </c>
      <c r="C61" s="14" t="str">
        <f t="shared" si="6"/>
        <v>iwh:strat-MMG</v>
      </c>
      <c r="D61" s="14" t="str">
        <f t="shared" si="10"/>
        <v>Mercia Mudstone Group</v>
      </c>
      <c r="E61" s="14" t="str">
        <f t="shared" si="11"/>
        <v/>
      </c>
      <c r="F61" s="14" t="s">
        <v>634</v>
      </c>
      <c r="G61" s="14" t="s">
        <v>635</v>
      </c>
      <c r="R61" s="14" t="str">
        <f>"iwh:Base"&amp;TRIM(SUBSTITUTE(F61," ",""))</f>
        <v>iwh:BaseMerciaMudstone</v>
      </c>
      <c r="U61" s="14" t="s">
        <v>681</v>
      </c>
      <c r="W61" s="14" t="s">
        <v>436</v>
      </c>
      <c r="Z61" s="14" t="s">
        <v>449</v>
      </c>
      <c r="AB61" s="14" t="s">
        <v>402</v>
      </c>
      <c r="AC61" s="14" t="s">
        <v>446</v>
      </c>
      <c r="AE61" s="14" t="s">
        <v>399</v>
      </c>
      <c r="AH61" s="14" t="s">
        <v>636</v>
      </c>
      <c r="AL61" s="14" t="s">
        <v>905</v>
      </c>
      <c r="AN61" s="14" t="s">
        <v>637</v>
      </c>
      <c r="AO61" s="14" t="s">
        <v>1266</v>
      </c>
    </row>
    <row r="62" spans="1:41" s="14" customFormat="1" ht="45" x14ac:dyDescent="0.25">
      <c r="A62" s="14" t="s">
        <v>676</v>
      </c>
      <c r="B62" s="14" t="s">
        <v>1046</v>
      </c>
      <c r="C62" s="14" t="str">
        <f t="shared" si="6"/>
        <v>iwh:strat-BAN</v>
      </c>
      <c r="D62" s="14" t="str">
        <f t="shared" si="10"/>
        <v>Blue Anchor Formation, Mercia Mudstone Group</v>
      </c>
      <c r="E62" s="14" t="str">
        <f t="shared" si="11"/>
        <v>iwh:strat-MMG</v>
      </c>
      <c r="F62" s="14" t="s">
        <v>634</v>
      </c>
      <c r="G62" s="14" t="s">
        <v>635</v>
      </c>
      <c r="H62" s="14" t="s">
        <v>638</v>
      </c>
      <c r="I62" s="14" t="s">
        <v>639</v>
      </c>
      <c r="R62" s="14" t="str">
        <f>"iwh:Base"&amp;TRIM(SUBSTITUTE(H62," ",""))</f>
        <v>iwh:BaseBlueAnchor</v>
      </c>
      <c r="U62" s="14" t="s">
        <v>634</v>
      </c>
      <c r="W62" s="14" t="s">
        <v>434</v>
      </c>
      <c r="Z62" s="14" t="s">
        <v>449</v>
      </c>
      <c r="AB62" s="14" t="s">
        <v>402</v>
      </c>
      <c r="AC62" s="14" t="s">
        <v>563</v>
      </c>
      <c r="AE62" s="14" t="s">
        <v>564</v>
      </c>
      <c r="AL62" s="14" t="s">
        <v>904</v>
      </c>
      <c r="AN62" s="14" t="s">
        <v>675</v>
      </c>
      <c r="AO62" s="14" t="s">
        <v>1266</v>
      </c>
    </row>
    <row r="63" spans="1:41" s="14" customFormat="1" ht="90" x14ac:dyDescent="0.25">
      <c r="A63" s="14" t="s">
        <v>676</v>
      </c>
      <c r="B63" s="14" t="s">
        <v>1048</v>
      </c>
      <c r="C63" s="14" t="str">
        <f t="shared" si="6"/>
        <v>iwh:strat-DEV</v>
      </c>
      <c r="D63" s="14" t="str">
        <f t="shared" si="10"/>
        <v>Devonian rocks (undifferentiated) Group</v>
      </c>
      <c r="E63" s="14" t="str">
        <f t="shared" si="11"/>
        <v/>
      </c>
      <c r="F63" s="14" t="s">
        <v>681</v>
      </c>
      <c r="G63" s="14" t="s">
        <v>677</v>
      </c>
      <c r="W63" s="14" t="s">
        <v>643</v>
      </c>
      <c r="Z63" s="14" t="s">
        <v>443</v>
      </c>
      <c r="AB63" s="14" t="s">
        <v>405</v>
      </c>
      <c r="AC63" s="14" t="s">
        <v>678</v>
      </c>
      <c r="AE63" s="14" t="s">
        <v>679</v>
      </c>
      <c r="AH63" s="14" t="s">
        <v>680</v>
      </c>
      <c r="AL63" s="14" t="s">
        <v>903</v>
      </c>
      <c r="AN63" s="14" t="s">
        <v>644</v>
      </c>
      <c r="AO63" s="14" t="s">
        <v>1266</v>
      </c>
    </row>
    <row r="64" spans="1:41" x14ac:dyDescent="0.25">
      <c r="C64" s="14"/>
      <c r="D64" s="14"/>
      <c r="E64" s="14"/>
    </row>
  </sheetData>
  <autoFilter ref="A1:AO1124" xr:uid="{F111B238-DF3C-4FB9-8DC6-EA00CF141C8C}"/>
  <phoneticPr fontId="4" type="noConversion"/>
  <dataValidations count="3">
    <dataValidation type="list" allowBlank="1" showInputMessage="1" showErrorMessage="1" sqref="Z63" xr:uid="{00000000-0002-0000-0000-00000A000000}">
      <formula1>$AC$991:$AC$999</formula1>
    </dataValidation>
    <dataValidation type="list" allowBlank="1" showInputMessage="1" showErrorMessage="1" sqref="AE63" xr:uid="{00000000-0002-0000-0000-00000C000000}">
      <formula1>$AG$991:$AG$999</formula1>
    </dataValidation>
    <dataValidation type="list" allowBlank="1" showInputMessage="1" showErrorMessage="1" sqref="W63" xr:uid="{00000000-0002-0000-0000-00000E000000}">
      <formula1>$AL$991:$AL$995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000-000000000000}">
          <x14:formula1>
            <xm:f>ContactProcess!$A$2:$A$6</xm:f>
          </x14:formula1>
          <xm:sqref>W64:W998</xm:sqref>
        </x14:dataValidation>
        <x14:dataValidation type="list" allowBlank="1" showInputMessage="1" showErrorMessage="1" xr:uid="{00000000-0002-0000-0000-000001000000}">
          <x14:formula1>
            <xm:f>VocabularyCodes!$L$2:$L$28</xm:f>
          </x14:formula1>
          <xm:sqref>AE53:AE62 AE64:AE999</xm:sqref>
        </x14:dataValidation>
        <x14:dataValidation type="list" allowBlank="1" showInputMessage="1" showErrorMessage="1" xr:uid="{00000000-0002-0000-0000-000004000000}">
          <x14:formula1>
            <xm:f>VocabularyCodes!$I$2:$I$28</xm:f>
          </x14:formula1>
          <xm:sqref>Z37:Z62 Z64:Z997</xm:sqref>
        </x14:dataValidation>
        <x14:dataValidation type="list" allowBlank="1" showInputMessage="1" showErrorMessage="1" xr:uid="{00000000-0002-0000-0000-000005000000}">
          <x14:formula1>
            <xm:f>ContactProcess!$A$2:$A$4</xm:f>
          </x14:formula1>
          <xm:sqref>W26 W15:W19 W8:W12 W2 W4 W29:W44</xm:sqref>
        </x14:dataValidation>
        <x14:dataValidation type="list" allowBlank="1" showInputMessage="1" showErrorMessage="1" xr:uid="{00000000-0002-0000-0000-000006000000}">
          <x14:formula1>
            <xm:f>VocabularyCodes!$I$2:$I$27</xm:f>
          </x14:formula1>
          <xm:sqref>Z2:Z36</xm:sqref>
        </x14:dataValidation>
        <x14:dataValidation type="list" allowBlank="1" showInputMessage="1" showErrorMessage="1" xr:uid="{00000000-0002-0000-0000-000009000000}">
          <x14:formula1>
            <xm:f>VocabularyCodes!$L$2:$L$27</xm:f>
          </x14:formula1>
          <xm:sqref>AE2:AE37</xm:sqref>
        </x14:dataValidation>
        <x14:dataValidation type="list" allowBlank="1" showInputMessage="1" showErrorMessage="1" xr:uid="{00000000-0002-0000-0000-00000F000000}">
          <x14:formula1>
            <xm:f>ContactProcess!$A$2:$A$5</xm:f>
          </x14:formula1>
          <xm:sqref>W50:W51 W45:W47 W61:W62</xm:sqref>
        </x14:dataValidation>
        <x14:dataValidation type="list" allowBlank="1" showInputMessage="1" showErrorMessage="1" xr:uid="{00000000-0002-0000-0000-000010000000}">
          <x14:formula1>
            <xm:f>VocabularyCodes!$L$3:$L$28</xm:f>
          </x14:formula1>
          <xm:sqref>AE38:AE52</xm:sqref>
        </x14:dataValidation>
        <x14:dataValidation type="list" allowBlank="1" showInputMessage="1" showErrorMessage="1" xr:uid="{00000000-0002-0000-0000-000011000000}">
          <x14:formula1>
            <xm:f>ContactProcess!$A$2:$A$7</xm:f>
          </x14:formula1>
          <xm:sqref>W22 W24:W25 W27:W28</xm:sqref>
        </x14:dataValidation>
        <x14:dataValidation type="list" allowBlank="1" showInputMessage="1" showErrorMessage="1" xr:uid="{00000000-0002-0000-0000-000012000000}">
          <x14:formula1>
            <xm:f>ContactProcess!$A$2:$A$8</xm:f>
          </x14:formula1>
          <xm:sqref>W20:W21 W13:W14 W5:W7 W3 W23</xm:sqref>
        </x14:dataValidation>
        <x14:dataValidation type="list" allowBlank="1" showInputMessage="1" showErrorMessage="1" xr:uid="{00000000-0002-0000-0000-000013000000}">
          <x14:formula1>
            <xm:f>ContactProcess!$A$2:$A$9</xm:f>
          </x14:formula1>
          <xm:sqref>W48:W49 W52:W60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1125"/>
  <sheetViews>
    <sheetView workbookViewId="0">
      <pane xSplit="6735" ySplit="600" topLeftCell="A39" activePane="bottomRight"/>
      <selection activeCell="R31" sqref="R31"/>
      <selection pane="topRight" activeCell="I1" sqref="I1"/>
      <selection pane="bottomLeft" activeCell="A51" sqref="A51:XFD51"/>
      <selection pane="bottomRight" activeCell="T3" sqref="T3:T64"/>
    </sheetView>
  </sheetViews>
  <sheetFormatPr defaultRowHeight="15" x14ac:dyDescent="0.25"/>
  <cols>
    <col min="1" max="1" width="6.7109375" customWidth="1"/>
    <col min="2" max="2" width="8.5703125" customWidth="1"/>
    <col min="3" max="3" width="7.85546875" customWidth="1"/>
    <col min="4" max="4" width="16.85546875" customWidth="1"/>
    <col min="5" max="5" width="7.7109375" customWidth="1"/>
    <col min="6" max="6" width="12.7109375" customWidth="1"/>
    <col min="7" max="7" width="14.85546875" customWidth="1"/>
    <col min="8" max="8" width="7.42578125" customWidth="1"/>
    <col min="9" max="10" width="9.85546875" customWidth="1"/>
    <col min="11" max="11" width="25.28515625" customWidth="1"/>
    <col min="12" max="12" width="9.140625" customWidth="1"/>
    <col min="13" max="13" width="22.85546875" customWidth="1"/>
    <col min="14" max="14" width="9.85546875" customWidth="1"/>
    <col min="15" max="16" width="6.42578125" customWidth="1"/>
    <col min="17" max="18" width="34.5703125" customWidth="1"/>
    <col min="19" max="19" width="23" customWidth="1"/>
    <col min="20" max="20" width="71.7109375" customWidth="1"/>
  </cols>
  <sheetData>
    <row r="1" spans="1:20" x14ac:dyDescent="0.25">
      <c r="A1" s="1" t="s">
        <v>414</v>
      </c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432</v>
      </c>
      <c r="K1" s="1" t="s">
        <v>426</v>
      </c>
      <c r="L1" s="1" t="s">
        <v>425</v>
      </c>
      <c r="M1" s="1" t="s">
        <v>427</v>
      </c>
      <c r="N1" s="1" t="s">
        <v>428</v>
      </c>
      <c r="O1" s="1" t="s">
        <v>429</v>
      </c>
      <c r="P1" s="1" t="s">
        <v>430</v>
      </c>
      <c r="Q1" s="1" t="s">
        <v>472</v>
      </c>
      <c r="R1" s="1" t="s">
        <v>431</v>
      </c>
      <c r="S1" s="1" t="s">
        <v>423</v>
      </c>
      <c r="T1" s="1" t="s">
        <v>424</v>
      </c>
    </row>
    <row r="2" spans="1:20" x14ac:dyDescent="0.25">
      <c r="A2" t="s">
        <v>683</v>
      </c>
      <c r="B2" t="s">
        <v>463</v>
      </c>
      <c r="C2" t="s">
        <v>464</v>
      </c>
      <c r="J2" t="s">
        <v>434</v>
      </c>
      <c r="K2" t="s">
        <v>451</v>
      </c>
      <c r="L2" t="s">
        <v>401</v>
      </c>
      <c r="M2" t="s">
        <v>437</v>
      </c>
      <c r="N2" t="s">
        <v>409</v>
      </c>
      <c r="Q2" t="s">
        <v>467</v>
      </c>
      <c r="R2" t="s">
        <v>902</v>
      </c>
      <c r="S2" t="s">
        <v>655</v>
      </c>
      <c r="T2" t="s">
        <v>821</v>
      </c>
    </row>
    <row r="3" spans="1:20" x14ac:dyDescent="0.25">
      <c r="A3" t="s">
        <v>683</v>
      </c>
      <c r="B3" t="s">
        <v>463</v>
      </c>
      <c r="C3" t="s">
        <v>464</v>
      </c>
      <c r="D3" t="s">
        <v>465</v>
      </c>
      <c r="E3" t="s">
        <v>466</v>
      </c>
      <c r="J3" t="s">
        <v>753</v>
      </c>
      <c r="K3" t="s">
        <v>451</v>
      </c>
      <c r="L3" t="s">
        <v>401</v>
      </c>
      <c r="Q3" t="s">
        <v>468</v>
      </c>
      <c r="R3" t="s">
        <v>901</v>
      </c>
      <c r="S3" t="s">
        <v>663</v>
      </c>
      <c r="T3" t="s">
        <v>821</v>
      </c>
    </row>
    <row r="4" spans="1:20" x14ac:dyDescent="0.25">
      <c r="A4" t="s">
        <v>683</v>
      </c>
      <c r="B4" t="s">
        <v>463</v>
      </c>
      <c r="C4" t="s">
        <v>464</v>
      </c>
      <c r="D4" t="s">
        <v>465</v>
      </c>
      <c r="E4" t="s">
        <v>466</v>
      </c>
      <c r="F4" t="s">
        <v>469</v>
      </c>
      <c r="G4" t="s">
        <v>491</v>
      </c>
      <c r="J4" t="s">
        <v>434</v>
      </c>
      <c r="K4" t="s">
        <v>449</v>
      </c>
      <c r="L4" t="s">
        <v>402</v>
      </c>
      <c r="Q4" t="s">
        <v>470</v>
      </c>
      <c r="R4" t="s">
        <v>900</v>
      </c>
      <c r="S4" t="s">
        <v>664</v>
      </c>
      <c r="T4" t="s">
        <v>821</v>
      </c>
    </row>
    <row r="5" spans="1:20" x14ac:dyDescent="0.25">
      <c r="A5" t="s">
        <v>683</v>
      </c>
      <c r="B5" t="s">
        <v>463</v>
      </c>
      <c r="C5" t="s">
        <v>464</v>
      </c>
      <c r="D5" t="s">
        <v>465</v>
      </c>
      <c r="E5" t="s">
        <v>466</v>
      </c>
      <c r="F5" t="s">
        <v>471</v>
      </c>
      <c r="G5" t="s">
        <v>492</v>
      </c>
      <c r="J5" t="s">
        <v>753</v>
      </c>
      <c r="K5" t="s">
        <v>449</v>
      </c>
      <c r="L5" t="s">
        <v>402</v>
      </c>
      <c r="M5" t="s">
        <v>451</v>
      </c>
      <c r="N5" t="s">
        <v>401</v>
      </c>
      <c r="Q5" t="s">
        <v>502</v>
      </c>
      <c r="R5" t="s">
        <v>899</v>
      </c>
      <c r="S5" t="s">
        <v>665</v>
      </c>
      <c r="T5" t="s">
        <v>821</v>
      </c>
    </row>
    <row r="6" spans="1:20" x14ac:dyDescent="0.25">
      <c r="A6" t="s">
        <v>683</v>
      </c>
      <c r="B6" t="s">
        <v>463</v>
      </c>
      <c r="C6" t="s">
        <v>464</v>
      </c>
      <c r="D6" t="s">
        <v>465</v>
      </c>
      <c r="E6" t="s">
        <v>466</v>
      </c>
      <c r="F6" t="s">
        <v>473</v>
      </c>
      <c r="G6" t="s">
        <v>493</v>
      </c>
      <c r="J6" t="s">
        <v>753</v>
      </c>
      <c r="K6" t="s">
        <v>451</v>
      </c>
      <c r="L6" t="s">
        <v>401</v>
      </c>
      <c r="M6" t="s">
        <v>437</v>
      </c>
      <c r="N6" t="s">
        <v>409</v>
      </c>
      <c r="Q6" t="s">
        <v>503</v>
      </c>
      <c r="R6" t="s">
        <v>898</v>
      </c>
      <c r="S6" t="s">
        <v>665</v>
      </c>
      <c r="T6" t="s">
        <v>821</v>
      </c>
    </row>
    <row r="7" spans="1:20" x14ac:dyDescent="0.25">
      <c r="A7" t="s">
        <v>683</v>
      </c>
      <c r="B7" t="s">
        <v>463</v>
      </c>
      <c r="C7" t="s">
        <v>464</v>
      </c>
      <c r="D7" t="s">
        <v>478</v>
      </c>
      <c r="E7" t="s">
        <v>489</v>
      </c>
      <c r="J7" t="s">
        <v>702</v>
      </c>
      <c r="K7" t="s">
        <v>437</v>
      </c>
      <c r="L7" t="s">
        <v>409</v>
      </c>
      <c r="M7" t="s">
        <v>449</v>
      </c>
      <c r="Q7" t="s">
        <v>504</v>
      </c>
      <c r="R7" t="s">
        <v>897</v>
      </c>
      <c r="S7" t="s">
        <v>659</v>
      </c>
      <c r="T7" t="s">
        <v>821</v>
      </c>
    </row>
    <row r="8" spans="1:20" x14ac:dyDescent="0.25">
      <c r="A8" t="s">
        <v>683</v>
      </c>
      <c r="B8" t="s">
        <v>463</v>
      </c>
      <c r="C8" t="s">
        <v>464</v>
      </c>
      <c r="D8" t="s">
        <v>474</v>
      </c>
      <c r="E8" t="s">
        <v>490</v>
      </c>
      <c r="J8" t="s">
        <v>434</v>
      </c>
      <c r="K8" t="s">
        <v>450</v>
      </c>
      <c r="L8" t="s">
        <v>400</v>
      </c>
      <c r="M8" t="s">
        <v>445</v>
      </c>
      <c r="N8" t="s">
        <v>407</v>
      </c>
      <c r="Q8" t="s">
        <v>505</v>
      </c>
      <c r="R8" t="s">
        <v>896</v>
      </c>
      <c r="S8" t="s">
        <v>662</v>
      </c>
      <c r="T8" t="s">
        <v>821</v>
      </c>
    </row>
    <row r="9" spans="1:20" x14ac:dyDescent="0.25">
      <c r="A9" t="s">
        <v>683</v>
      </c>
      <c r="B9" t="s">
        <v>463</v>
      </c>
      <c r="C9" t="s">
        <v>464</v>
      </c>
      <c r="D9" t="s">
        <v>474</v>
      </c>
      <c r="E9" t="s">
        <v>490</v>
      </c>
      <c r="F9" t="s">
        <v>500</v>
      </c>
      <c r="G9" t="s">
        <v>501</v>
      </c>
      <c r="J9" t="s">
        <v>434</v>
      </c>
      <c r="K9" t="s">
        <v>451</v>
      </c>
      <c r="L9" t="s">
        <v>401</v>
      </c>
      <c r="Q9" t="s">
        <v>506</v>
      </c>
      <c r="R9" t="s">
        <v>895</v>
      </c>
      <c r="S9" t="s">
        <v>660</v>
      </c>
      <c r="T9" t="s">
        <v>821</v>
      </c>
    </row>
    <row r="10" spans="1:20" x14ac:dyDescent="0.25">
      <c r="A10" t="s">
        <v>683</v>
      </c>
      <c r="B10" t="s">
        <v>463</v>
      </c>
      <c r="C10" t="s">
        <v>464</v>
      </c>
      <c r="D10" t="s">
        <v>474</v>
      </c>
      <c r="E10" t="s">
        <v>490</v>
      </c>
      <c r="F10" t="s">
        <v>475</v>
      </c>
      <c r="G10" t="s">
        <v>494</v>
      </c>
      <c r="J10" t="s">
        <v>434</v>
      </c>
      <c r="K10" t="s">
        <v>451</v>
      </c>
      <c r="L10" t="s">
        <v>401</v>
      </c>
      <c r="R10" t="s">
        <v>894</v>
      </c>
      <c r="S10" t="s">
        <v>658</v>
      </c>
      <c r="T10" t="s">
        <v>821</v>
      </c>
    </row>
    <row r="11" spans="1:20" x14ac:dyDescent="0.25">
      <c r="A11" t="s">
        <v>683</v>
      </c>
      <c r="B11" t="s">
        <v>463</v>
      </c>
      <c r="C11" t="s">
        <v>464</v>
      </c>
      <c r="D11" t="s">
        <v>474</v>
      </c>
      <c r="E11" t="s">
        <v>490</v>
      </c>
      <c r="F11" t="s">
        <v>476</v>
      </c>
      <c r="G11" t="s">
        <v>495</v>
      </c>
      <c r="J11" t="s">
        <v>434</v>
      </c>
      <c r="K11" t="s">
        <v>451</v>
      </c>
      <c r="L11" t="s">
        <v>401</v>
      </c>
      <c r="Q11" t="s">
        <v>481</v>
      </c>
      <c r="R11" t="s">
        <v>894</v>
      </c>
      <c r="S11" t="s">
        <v>658</v>
      </c>
      <c r="T11" t="s">
        <v>821</v>
      </c>
    </row>
    <row r="12" spans="1:20" x14ac:dyDescent="0.25">
      <c r="A12" t="s">
        <v>683</v>
      </c>
      <c r="B12" t="s">
        <v>463</v>
      </c>
      <c r="C12" t="s">
        <v>464</v>
      </c>
      <c r="D12" t="s">
        <v>474</v>
      </c>
      <c r="E12" t="s">
        <v>490</v>
      </c>
      <c r="F12" t="s">
        <v>477</v>
      </c>
      <c r="G12" t="s">
        <v>496</v>
      </c>
      <c r="J12" t="s">
        <v>434</v>
      </c>
      <c r="K12" t="s">
        <v>451</v>
      </c>
      <c r="L12" t="s">
        <v>401</v>
      </c>
      <c r="M12" t="s">
        <v>437</v>
      </c>
      <c r="N12" t="s">
        <v>409</v>
      </c>
      <c r="R12" t="s">
        <v>893</v>
      </c>
      <c r="S12" t="s">
        <v>661</v>
      </c>
      <c r="T12" t="s">
        <v>821</v>
      </c>
    </row>
    <row r="13" spans="1:20" x14ac:dyDescent="0.25">
      <c r="A13" t="s">
        <v>683</v>
      </c>
      <c r="B13" t="s">
        <v>463</v>
      </c>
      <c r="C13" t="s">
        <v>464</v>
      </c>
      <c r="D13" t="s">
        <v>474</v>
      </c>
      <c r="E13" t="s">
        <v>490</v>
      </c>
      <c r="F13" t="s">
        <v>479</v>
      </c>
      <c r="G13" t="s">
        <v>497</v>
      </c>
      <c r="J13" t="s">
        <v>702</v>
      </c>
      <c r="K13" t="s">
        <v>451</v>
      </c>
      <c r="L13" t="s">
        <v>401</v>
      </c>
      <c r="Q13" t="s">
        <v>470</v>
      </c>
      <c r="R13" t="s">
        <v>892</v>
      </c>
      <c r="S13" t="s">
        <v>658</v>
      </c>
      <c r="T13" t="s">
        <v>821</v>
      </c>
    </row>
    <row r="14" spans="1:20" x14ac:dyDescent="0.25">
      <c r="A14" t="s">
        <v>683</v>
      </c>
      <c r="B14" t="s">
        <v>463</v>
      </c>
      <c r="C14" t="s">
        <v>464</v>
      </c>
      <c r="D14" t="s">
        <v>474</v>
      </c>
      <c r="E14" t="s">
        <v>490</v>
      </c>
      <c r="F14" t="s">
        <v>480</v>
      </c>
      <c r="G14" t="s">
        <v>498</v>
      </c>
      <c r="J14" t="s">
        <v>753</v>
      </c>
      <c r="K14" t="s">
        <v>451</v>
      </c>
      <c r="L14" t="s">
        <v>401</v>
      </c>
      <c r="M14" t="s">
        <v>445</v>
      </c>
      <c r="N14" t="s">
        <v>407</v>
      </c>
      <c r="Q14" t="s">
        <v>470</v>
      </c>
      <c r="R14" t="s">
        <v>891</v>
      </c>
      <c r="S14" t="s">
        <v>657</v>
      </c>
      <c r="T14" t="s">
        <v>821</v>
      </c>
    </row>
    <row r="15" spans="1:20" x14ac:dyDescent="0.25">
      <c r="A15" t="s">
        <v>683</v>
      </c>
      <c r="B15" t="s">
        <v>463</v>
      </c>
      <c r="C15" t="s">
        <v>464</v>
      </c>
      <c r="D15" t="s">
        <v>474</v>
      </c>
      <c r="E15" t="s">
        <v>490</v>
      </c>
      <c r="F15" t="s">
        <v>482</v>
      </c>
      <c r="G15" t="s">
        <v>499</v>
      </c>
      <c r="J15" t="s">
        <v>434</v>
      </c>
      <c r="K15" t="s">
        <v>451</v>
      </c>
      <c r="L15" t="s">
        <v>401</v>
      </c>
      <c r="M15" t="s">
        <v>445</v>
      </c>
      <c r="N15" t="s">
        <v>407</v>
      </c>
      <c r="Q15" t="s">
        <v>507</v>
      </c>
      <c r="R15" t="s">
        <v>890</v>
      </c>
      <c r="S15" t="s">
        <v>656</v>
      </c>
      <c r="T15" t="s">
        <v>821</v>
      </c>
    </row>
    <row r="16" spans="1:20" x14ac:dyDescent="0.25">
      <c r="A16" t="s">
        <v>683</v>
      </c>
      <c r="B16" t="s">
        <v>486</v>
      </c>
      <c r="C16" t="s">
        <v>488</v>
      </c>
      <c r="J16" t="s">
        <v>436</v>
      </c>
      <c r="K16" t="s">
        <v>449</v>
      </c>
      <c r="L16" t="s">
        <v>402</v>
      </c>
      <c r="M16" t="s">
        <v>451</v>
      </c>
      <c r="N16" t="s">
        <v>401</v>
      </c>
      <c r="Q16" t="s">
        <v>487</v>
      </c>
      <c r="R16" t="s">
        <v>889</v>
      </c>
      <c r="S16" t="s">
        <v>654</v>
      </c>
      <c r="T16" t="s">
        <v>821</v>
      </c>
    </row>
    <row r="17" spans="1:20" x14ac:dyDescent="0.25">
      <c r="A17" t="s">
        <v>683</v>
      </c>
      <c r="B17" t="s">
        <v>486</v>
      </c>
      <c r="C17" t="s">
        <v>488</v>
      </c>
      <c r="D17" t="s">
        <v>483</v>
      </c>
      <c r="E17" t="s">
        <v>511</v>
      </c>
      <c r="J17" t="s">
        <v>434</v>
      </c>
      <c r="K17" t="s">
        <v>443</v>
      </c>
      <c r="L17" t="s">
        <v>405</v>
      </c>
      <c r="M17" t="s">
        <v>451</v>
      </c>
      <c r="N17" t="s">
        <v>401</v>
      </c>
      <c r="Q17" t="s">
        <v>508</v>
      </c>
      <c r="R17" t="s">
        <v>888</v>
      </c>
      <c r="S17" t="s">
        <v>653</v>
      </c>
      <c r="T17" t="s">
        <v>821</v>
      </c>
    </row>
    <row r="18" spans="1:20" x14ac:dyDescent="0.25">
      <c r="A18" t="s">
        <v>683</v>
      </c>
      <c r="B18" t="s">
        <v>486</v>
      </c>
      <c r="C18" t="s">
        <v>488</v>
      </c>
      <c r="D18" t="s">
        <v>484</v>
      </c>
      <c r="E18" t="s">
        <v>512</v>
      </c>
      <c r="J18" t="s">
        <v>434</v>
      </c>
      <c r="K18" t="s">
        <v>445</v>
      </c>
      <c r="L18" t="s">
        <v>407</v>
      </c>
      <c r="Q18" t="s">
        <v>509</v>
      </c>
      <c r="R18" s="4" t="s">
        <v>887</v>
      </c>
      <c r="S18" t="s">
        <v>653</v>
      </c>
      <c r="T18" t="s">
        <v>821</v>
      </c>
    </row>
    <row r="19" spans="1:20" x14ac:dyDescent="0.25">
      <c r="A19" t="s">
        <v>683</v>
      </c>
      <c r="B19" t="s">
        <v>486</v>
      </c>
      <c r="C19" t="s">
        <v>488</v>
      </c>
      <c r="D19" t="s">
        <v>485</v>
      </c>
      <c r="E19" t="s">
        <v>513</v>
      </c>
      <c r="J19" t="s">
        <v>436</v>
      </c>
      <c r="K19" t="s">
        <v>451</v>
      </c>
      <c r="L19" t="s">
        <v>401</v>
      </c>
      <c r="M19" t="s">
        <v>451</v>
      </c>
      <c r="N19" t="s">
        <v>401</v>
      </c>
      <c r="Q19" t="s">
        <v>510</v>
      </c>
      <c r="R19" s="4" t="s">
        <v>886</v>
      </c>
      <c r="S19" t="s">
        <v>652</v>
      </c>
      <c r="T19" t="s">
        <v>821</v>
      </c>
    </row>
    <row r="20" spans="1:20" x14ac:dyDescent="0.25">
      <c r="A20" t="s">
        <v>683</v>
      </c>
      <c r="B20" t="s">
        <v>517</v>
      </c>
      <c r="C20" t="s">
        <v>523</v>
      </c>
      <c r="J20" t="s">
        <v>702</v>
      </c>
      <c r="K20" t="s">
        <v>443</v>
      </c>
      <c r="L20" t="s">
        <v>405</v>
      </c>
      <c r="M20" t="s">
        <v>451</v>
      </c>
      <c r="N20" t="s">
        <v>401</v>
      </c>
      <c r="Q20" t="s">
        <v>532</v>
      </c>
      <c r="R20" t="s">
        <v>885</v>
      </c>
      <c r="S20" t="s">
        <v>651</v>
      </c>
      <c r="T20" t="s">
        <v>821</v>
      </c>
    </row>
    <row r="21" spans="1:20" x14ac:dyDescent="0.25">
      <c r="A21" t="s">
        <v>683</v>
      </c>
      <c r="B21" t="s">
        <v>517</v>
      </c>
      <c r="C21" t="s">
        <v>523</v>
      </c>
      <c r="D21" t="s">
        <v>514</v>
      </c>
      <c r="E21" t="s">
        <v>524</v>
      </c>
      <c r="J21" t="s">
        <v>753</v>
      </c>
      <c r="K21" t="s">
        <v>443</v>
      </c>
      <c r="L21" t="s">
        <v>405</v>
      </c>
      <c r="M21" t="s">
        <v>446</v>
      </c>
      <c r="N21" t="s">
        <v>399</v>
      </c>
      <c r="Q21" t="s">
        <v>533</v>
      </c>
      <c r="R21" t="s">
        <v>884</v>
      </c>
      <c r="S21" t="s">
        <v>650</v>
      </c>
      <c r="T21" t="s">
        <v>821</v>
      </c>
    </row>
    <row r="22" spans="1:20" x14ac:dyDescent="0.25">
      <c r="A22" t="s">
        <v>683</v>
      </c>
      <c r="B22" t="s">
        <v>517</v>
      </c>
      <c r="C22" t="s">
        <v>523</v>
      </c>
      <c r="D22" t="s">
        <v>515</v>
      </c>
      <c r="E22" t="s">
        <v>525</v>
      </c>
      <c r="J22" t="s">
        <v>702</v>
      </c>
      <c r="K22" t="s">
        <v>443</v>
      </c>
      <c r="L22" t="s">
        <v>405</v>
      </c>
      <c r="M22" t="s">
        <v>451</v>
      </c>
      <c r="N22" t="s">
        <v>401</v>
      </c>
      <c r="Q22" t="s">
        <v>534</v>
      </c>
      <c r="R22" t="s">
        <v>883</v>
      </c>
      <c r="S22" t="s">
        <v>649</v>
      </c>
      <c r="T22" t="s">
        <v>821</v>
      </c>
    </row>
    <row r="23" spans="1:20" x14ac:dyDescent="0.25">
      <c r="A23" t="s">
        <v>683</v>
      </c>
      <c r="B23" t="s">
        <v>517</v>
      </c>
      <c r="C23" t="s">
        <v>523</v>
      </c>
      <c r="D23" t="s">
        <v>516</v>
      </c>
      <c r="E23" t="s">
        <v>526</v>
      </c>
      <c r="J23" t="s">
        <v>753</v>
      </c>
      <c r="K23" t="s">
        <v>443</v>
      </c>
      <c r="L23" t="s">
        <v>405</v>
      </c>
      <c r="Q23" t="s">
        <v>535</v>
      </c>
      <c r="R23" t="s">
        <v>882</v>
      </c>
      <c r="S23" t="s">
        <v>650</v>
      </c>
      <c r="T23" t="s">
        <v>821</v>
      </c>
    </row>
    <row r="24" spans="1:20" x14ac:dyDescent="0.25">
      <c r="A24" t="s">
        <v>683</v>
      </c>
      <c r="B24" t="s">
        <v>517</v>
      </c>
      <c r="C24" t="s">
        <v>523</v>
      </c>
      <c r="D24" t="s">
        <v>518</v>
      </c>
      <c r="E24" t="s">
        <v>527</v>
      </c>
      <c r="J24" t="s">
        <v>702</v>
      </c>
      <c r="K24" t="s">
        <v>451</v>
      </c>
      <c r="L24" t="s">
        <v>401</v>
      </c>
      <c r="M24" t="s">
        <v>443</v>
      </c>
      <c r="N24" t="s">
        <v>405</v>
      </c>
      <c r="Q24" t="s">
        <v>536</v>
      </c>
      <c r="R24" t="s">
        <v>881</v>
      </c>
      <c r="S24" t="s">
        <v>649</v>
      </c>
      <c r="T24" t="s">
        <v>821</v>
      </c>
    </row>
    <row r="25" spans="1:20" x14ac:dyDescent="0.25">
      <c r="A25" t="s">
        <v>683</v>
      </c>
      <c r="B25" t="s">
        <v>519</v>
      </c>
      <c r="C25" t="s">
        <v>528</v>
      </c>
      <c r="J25" t="s">
        <v>702</v>
      </c>
      <c r="K25" t="s">
        <v>444</v>
      </c>
      <c r="L25" t="s">
        <v>406</v>
      </c>
      <c r="M25" t="s">
        <v>450</v>
      </c>
      <c r="N25" t="s">
        <v>400</v>
      </c>
      <c r="R25" t="s">
        <v>880</v>
      </c>
      <c r="S25" t="s">
        <v>646</v>
      </c>
      <c r="T25" t="s">
        <v>821</v>
      </c>
    </row>
    <row r="26" spans="1:20" x14ac:dyDescent="0.25">
      <c r="A26" t="s">
        <v>683</v>
      </c>
      <c r="B26" t="s">
        <v>519</v>
      </c>
      <c r="C26" t="s">
        <v>528</v>
      </c>
      <c r="D26" t="s">
        <v>520</v>
      </c>
      <c r="E26" t="s">
        <v>530</v>
      </c>
      <c r="J26" t="s">
        <v>434</v>
      </c>
      <c r="K26" t="s">
        <v>444</v>
      </c>
      <c r="L26" t="s">
        <v>406</v>
      </c>
      <c r="M26" t="s">
        <v>450</v>
      </c>
      <c r="N26" t="s">
        <v>400</v>
      </c>
      <c r="Q26" t="s">
        <v>537</v>
      </c>
      <c r="R26" t="s">
        <v>878</v>
      </c>
      <c r="S26" t="s">
        <v>646</v>
      </c>
      <c r="T26" t="s">
        <v>821</v>
      </c>
    </row>
    <row r="27" spans="1:20" x14ac:dyDescent="0.25">
      <c r="A27" t="s">
        <v>683</v>
      </c>
      <c r="B27" t="s">
        <v>519</v>
      </c>
      <c r="C27" t="s">
        <v>528</v>
      </c>
      <c r="D27" t="s">
        <v>520</v>
      </c>
      <c r="E27" t="s">
        <v>530</v>
      </c>
      <c r="F27" s="2" t="s">
        <v>538</v>
      </c>
      <c r="G27" t="s">
        <v>539</v>
      </c>
      <c r="J27" t="s">
        <v>702</v>
      </c>
      <c r="K27" t="s">
        <v>443</v>
      </c>
      <c r="L27" t="s">
        <v>405</v>
      </c>
      <c r="Q27" t="s">
        <v>754</v>
      </c>
      <c r="R27" s="4" t="s">
        <v>877</v>
      </c>
      <c r="S27" t="s">
        <v>647</v>
      </c>
      <c r="T27" t="s">
        <v>821</v>
      </c>
    </row>
    <row r="28" spans="1:20" x14ac:dyDescent="0.25">
      <c r="A28" t="s">
        <v>683</v>
      </c>
      <c r="B28" t="s">
        <v>519</v>
      </c>
      <c r="C28" t="s">
        <v>528</v>
      </c>
      <c r="D28" t="s">
        <v>713</v>
      </c>
      <c r="E28" t="s">
        <v>714</v>
      </c>
      <c r="F28" s="2"/>
      <c r="J28" t="s">
        <v>702</v>
      </c>
      <c r="K28" t="s">
        <v>444</v>
      </c>
      <c r="L28" t="s">
        <v>406</v>
      </c>
      <c r="M28" t="s">
        <v>447</v>
      </c>
      <c r="N28" t="s">
        <v>404</v>
      </c>
      <c r="Q28" t="s">
        <v>715</v>
      </c>
      <c r="R28" s="4" t="s">
        <v>876</v>
      </c>
      <c r="S28" t="s">
        <v>716</v>
      </c>
      <c r="T28" t="s">
        <v>821</v>
      </c>
    </row>
    <row r="29" spans="1:20" x14ac:dyDescent="0.25">
      <c r="A29" t="s">
        <v>683</v>
      </c>
      <c r="B29" t="s">
        <v>521</v>
      </c>
      <c r="C29" t="s">
        <v>529</v>
      </c>
      <c r="J29" t="s">
        <v>436</v>
      </c>
      <c r="K29" t="s">
        <v>443</v>
      </c>
      <c r="L29" t="s">
        <v>405</v>
      </c>
      <c r="M29" t="s">
        <v>451</v>
      </c>
      <c r="N29" t="s">
        <v>401</v>
      </c>
      <c r="R29" t="s">
        <v>875</v>
      </c>
      <c r="S29" t="s">
        <v>645</v>
      </c>
      <c r="T29" t="s">
        <v>821</v>
      </c>
    </row>
    <row r="30" spans="1:20" x14ac:dyDescent="0.25">
      <c r="A30" t="s">
        <v>683</v>
      </c>
      <c r="B30" t="s">
        <v>521</v>
      </c>
      <c r="C30" t="s">
        <v>529</v>
      </c>
      <c r="D30" t="s">
        <v>522</v>
      </c>
      <c r="E30" t="s">
        <v>531</v>
      </c>
      <c r="J30" t="s">
        <v>436</v>
      </c>
      <c r="K30" t="s">
        <v>443</v>
      </c>
      <c r="L30" t="s">
        <v>405</v>
      </c>
      <c r="M30" t="s">
        <v>451</v>
      </c>
      <c r="N30" t="s">
        <v>401</v>
      </c>
      <c r="Q30" t="s">
        <v>540</v>
      </c>
      <c r="R30" t="s">
        <v>875</v>
      </c>
      <c r="S30" t="s">
        <v>645</v>
      </c>
      <c r="T30" t="s">
        <v>821</v>
      </c>
    </row>
    <row r="31" spans="1:20" x14ac:dyDescent="0.25">
      <c r="A31" t="s">
        <v>683</v>
      </c>
      <c r="B31" t="s">
        <v>387</v>
      </c>
      <c r="C31" t="s">
        <v>154</v>
      </c>
      <c r="J31" t="s">
        <v>436</v>
      </c>
      <c r="K31" t="s">
        <v>442</v>
      </c>
      <c r="L31" t="s">
        <v>408</v>
      </c>
      <c r="M31" t="s">
        <v>461</v>
      </c>
      <c r="N31" t="s">
        <v>397</v>
      </c>
      <c r="R31" t="s">
        <v>879</v>
      </c>
      <c r="S31" t="s">
        <v>648</v>
      </c>
      <c r="T31" t="s">
        <v>821</v>
      </c>
    </row>
    <row r="32" spans="1:20" x14ac:dyDescent="0.25">
      <c r="A32" t="s">
        <v>683</v>
      </c>
      <c r="B32" t="s">
        <v>387</v>
      </c>
      <c r="C32" t="s">
        <v>154</v>
      </c>
      <c r="D32" t="s">
        <v>541</v>
      </c>
      <c r="E32" t="s">
        <v>550</v>
      </c>
      <c r="J32" t="s">
        <v>434</v>
      </c>
      <c r="K32" t="s">
        <v>442</v>
      </c>
      <c r="L32" t="s">
        <v>408</v>
      </c>
      <c r="M32" t="s">
        <v>461</v>
      </c>
      <c r="N32" t="s">
        <v>397</v>
      </c>
      <c r="Q32" t="s">
        <v>559</v>
      </c>
      <c r="R32" t="s">
        <v>874</v>
      </c>
      <c r="S32" t="s">
        <v>648</v>
      </c>
      <c r="T32" t="s">
        <v>821</v>
      </c>
    </row>
    <row r="33" spans="1:20" x14ac:dyDescent="0.25">
      <c r="A33" t="s">
        <v>683</v>
      </c>
      <c r="B33" t="s">
        <v>387</v>
      </c>
      <c r="C33" t="s">
        <v>154</v>
      </c>
      <c r="D33" t="s">
        <v>542</v>
      </c>
      <c r="E33" t="s">
        <v>552</v>
      </c>
      <c r="J33" t="s">
        <v>434</v>
      </c>
      <c r="K33" t="s">
        <v>442</v>
      </c>
      <c r="L33" t="s">
        <v>408</v>
      </c>
      <c r="M33" t="s">
        <v>461</v>
      </c>
      <c r="N33" t="s">
        <v>397</v>
      </c>
      <c r="R33" t="s">
        <v>873</v>
      </c>
      <c r="S33" t="s">
        <v>648</v>
      </c>
      <c r="T33" t="s">
        <v>821</v>
      </c>
    </row>
    <row r="34" spans="1:20" x14ac:dyDescent="0.25">
      <c r="A34" t="s">
        <v>683</v>
      </c>
      <c r="B34" t="s">
        <v>387</v>
      </c>
      <c r="C34" t="s">
        <v>154</v>
      </c>
      <c r="D34" t="s">
        <v>543</v>
      </c>
      <c r="E34" t="s">
        <v>551</v>
      </c>
      <c r="J34" t="s">
        <v>434</v>
      </c>
      <c r="K34" t="s">
        <v>442</v>
      </c>
      <c r="L34" t="s">
        <v>408</v>
      </c>
      <c r="M34" t="s">
        <v>461</v>
      </c>
      <c r="N34" t="s">
        <v>397</v>
      </c>
      <c r="Q34" t="s">
        <v>560</v>
      </c>
      <c r="R34" t="s">
        <v>872</v>
      </c>
      <c r="S34" t="s">
        <v>648</v>
      </c>
      <c r="T34" t="s">
        <v>821</v>
      </c>
    </row>
    <row r="35" spans="1:20" x14ac:dyDescent="0.25">
      <c r="A35" t="s">
        <v>683</v>
      </c>
      <c r="B35" t="s">
        <v>387</v>
      </c>
      <c r="C35" t="s">
        <v>154</v>
      </c>
      <c r="D35" t="s">
        <v>544</v>
      </c>
      <c r="E35" t="s">
        <v>553</v>
      </c>
      <c r="J35" t="s">
        <v>434</v>
      </c>
      <c r="K35" t="s">
        <v>442</v>
      </c>
      <c r="L35" t="s">
        <v>408</v>
      </c>
      <c r="M35" t="s">
        <v>461</v>
      </c>
      <c r="N35" t="s">
        <v>397</v>
      </c>
      <c r="Q35" t="s">
        <v>561</v>
      </c>
      <c r="R35" t="s">
        <v>871</v>
      </c>
      <c r="S35" t="s">
        <v>648</v>
      </c>
      <c r="T35" t="s">
        <v>821</v>
      </c>
    </row>
    <row r="36" spans="1:20" x14ac:dyDescent="0.25">
      <c r="A36" t="s">
        <v>683</v>
      </c>
      <c r="B36" t="s">
        <v>387</v>
      </c>
      <c r="C36" t="s">
        <v>154</v>
      </c>
      <c r="D36" t="s">
        <v>545</v>
      </c>
      <c r="E36" t="s">
        <v>554</v>
      </c>
      <c r="J36" t="s">
        <v>434</v>
      </c>
      <c r="K36" t="s">
        <v>442</v>
      </c>
      <c r="L36" t="s">
        <v>408</v>
      </c>
      <c r="M36" t="s">
        <v>461</v>
      </c>
      <c r="N36" t="s">
        <v>397</v>
      </c>
      <c r="Q36" t="s">
        <v>562</v>
      </c>
      <c r="R36" t="s">
        <v>870</v>
      </c>
      <c r="S36" t="s">
        <v>648</v>
      </c>
      <c r="T36" t="s">
        <v>821</v>
      </c>
    </row>
    <row r="37" spans="1:20" x14ac:dyDescent="0.25">
      <c r="A37" t="s">
        <v>683</v>
      </c>
      <c r="B37" t="s">
        <v>387</v>
      </c>
      <c r="C37" t="s">
        <v>154</v>
      </c>
      <c r="D37" t="s">
        <v>546</v>
      </c>
      <c r="E37" t="s">
        <v>555</v>
      </c>
      <c r="J37" t="s">
        <v>434</v>
      </c>
      <c r="K37" t="s">
        <v>442</v>
      </c>
      <c r="L37" t="s">
        <v>408</v>
      </c>
      <c r="M37" t="s">
        <v>563</v>
      </c>
      <c r="N37" t="s">
        <v>397</v>
      </c>
      <c r="Q37" t="s">
        <v>565</v>
      </c>
      <c r="R37" t="s">
        <v>869</v>
      </c>
      <c r="S37" t="s">
        <v>648</v>
      </c>
      <c r="T37" t="s">
        <v>821</v>
      </c>
    </row>
    <row r="38" spans="1:20" x14ac:dyDescent="0.25">
      <c r="A38" t="s">
        <v>683</v>
      </c>
      <c r="B38" t="s">
        <v>387</v>
      </c>
      <c r="C38" t="s">
        <v>154</v>
      </c>
      <c r="D38" t="s">
        <v>547</v>
      </c>
      <c r="E38" t="s">
        <v>556</v>
      </c>
      <c r="J38" t="s">
        <v>436</v>
      </c>
      <c r="K38" t="s">
        <v>442</v>
      </c>
      <c r="L38" t="s">
        <v>408</v>
      </c>
      <c r="M38" t="s">
        <v>563</v>
      </c>
      <c r="N38" t="s">
        <v>564</v>
      </c>
      <c r="Q38" t="s">
        <v>566</v>
      </c>
      <c r="R38" t="s">
        <v>868</v>
      </c>
      <c r="S38" t="s">
        <v>648</v>
      </c>
      <c r="T38" t="s">
        <v>821</v>
      </c>
    </row>
    <row r="39" spans="1:20" x14ac:dyDescent="0.25">
      <c r="A39" t="s">
        <v>683</v>
      </c>
      <c r="B39" t="s">
        <v>387</v>
      </c>
      <c r="C39" t="s">
        <v>154</v>
      </c>
      <c r="D39" t="s">
        <v>547</v>
      </c>
      <c r="E39" t="s">
        <v>556</v>
      </c>
      <c r="F39" t="s">
        <v>567</v>
      </c>
      <c r="G39" t="s">
        <v>569</v>
      </c>
      <c r="J39" t="s">
        <v>434</v>
      </c>
      <c r="K39" t="s">
        <v>442</v>
      </c>
      <c r="L39" t="s">
        <v>408</v>
      </c>
      <c r="R39" t="s">
        <v>771</v>
      </c>
      <c r="S39" t="s">
        <v>648</v>
      </c>
      <c r="T39" t="s">
        <v>821</v>
      </c>
    </row>
    <row r="40" spans="1:20" x14ac:dyDescent="0.25">
      <c r="A40" t="s">
        <v>683</v>
      </c>
      <c r="B40" t="s">
        <v>387</v>
      </c>
      <c r="C40" t="s">
        <v>154</v>
      </c>
      <c r="D40" t="s">
        <v>547</v>
      </c>
      <c r="E40" t="s">
        <v>556</v>
      </c>
      <c r="F40" t="s">
        <v>568</v>
      </c>
      <c r="G40" t="s">
        <v>570</v>
      </c>
      <c r="J40" t="s">
        <v>436</v>
      </c>
      <c r="K40" t="s">
        <v>563</v>
      </c>
      <c r="L40" t="s">
        <v>564</v>
      </c>
      <c r="Q40" t="s">
        <v>571</v>
      </c>
      <c r="R40" t="s">
        <v>771</v>
      </c>
      <c r="S40" t="s">
        <v>648</v>
      </c>
      <c r="T40" t="s">
        <v>821</v>
      </c>
    </row>
    <row r="41" spans="1:20" x14ac:dyDescent="0.25">
      <c r="A41" t="s">
        <v>683</v>
      </c>
      <c r="B41" t="s">
        <v>387</v>
      </c>
      <c r="C41" t="s">
        <v>154</v>
      </c>
      <c r="D41" t="s">
        <v>548</v>
      </c>
      <c r="E41" t="s">
        <v>557</v>
      </c>
      <c r="J41" t="s">
        <v>434</v>
      </c>
      <c r="K41" t="s">
        <v>442</v>
      </c>
      <c r="L41" t="s">
        <v>408</v>
      </c>
      <c r="M41" t="s">
        <v>563</v>
      </c>
      <c r="N41" t="s">
        <v>564</v>
      </c>
      <c r="Q41" t="s">
        <v>572</v>
      </c>
      <c r="R41" t="s">
        <v>867</v>
      </c>
      <c r="S41" t="s">
        <v>648</v>
      </c>
      <c r="T41" t="s">
        <v>821</v>
      </c>
    </row>
    <row r="42" spans="1:20" x14ac:dyDescent="0.25">
      <c r="A42" t="s">
        <v>683</v>
      </c>
      <c r="B42" t="s">
        <v>387</v>
      </c>
      <c r="C42" t="s">
        <v>154</v>
      </c>
      <c r="D42" t="s">
        <v>549</v>
      </c>
      <c r="E42" t="s">
        <v>558</v>
      </c>
      <c r="J42" t="s">
        <v>436</v>
      </c>
      <c r="K42" t="s">
        <v>442</v>
      </c>
      <c r="L42" t="s">
        <v>408</v>
      </c>
      <c r="M42" t="s">
        <v>563</v>
      </c>
      <c r="N42" t="s">
        <v>564</v>
      </c>
      <c r="Q42" t="s">
        <v>573</v>
      </c>
      <c r="R42" t="s">
        <v>866</v>
      </c>
      <c r="S42" t="s">
        <v>648</v>
      </c>
      <c r="T42" t="s">
        <v>821</v>
      </c>
    </row>
    <row r="43" spans="1:20" x14ac:dyDescent="0.25">
      <c r="A43" t="s">
        <v>683</v>
      </c>
      <c r="B43" t="s">
        <v>387</v>
      </c>
      <c r="C43" t="s">
        <v>154</v>
      </c>
      <c r="D43" t="s">
        <v>549</v>
      </c>
      <c r="E43" t="s">
        <v>558</v>
      </c>
      <c r="F43" t="s">
        <v>574</v>
      </c>
      <c r="G43" t="s">
        <v>575</v>
      </c>
      <c r="J43" t="s">
        <v>436</v>
      </c>
      <c r="K43" t="s">
        <v>563</v>
      </c>
      <c r="L43" t="s">
        <v>564</v>
      </c>
      <c r="Q43" t="s">
        <v>576</v>
      </c>
      <c r="R43" t="s">
        <v>771</v>
      </c>
      <c r="S43" t="s">
        <v>648</v>
      </c>
      <c r="T43" t="s">
        <v>821</v>
      </c>
    </row>
    <row r="44" spans="1:20" x14ac:dyDescent="0.25">
      <c r="A44" t="s">
        <v>683</v>
      </c>
      <c r="B44" t="s">
        <v>578</v>
      </c>
      <c r="C44" t="s">
        <v>577</v>
      </c>
      <c r="J44" t="s">
        <v>436</v>
      </c>
      <c r="K44" t="s">
        <v>443</v>
      </c>
      <c r="L44" t="s">
        <v>405</v>
      </c>
      <c r="M44" t="s">
        <v>449</v>
      </c>
      <c r="N44" t="s">
        <v>402</v>
      </c>
      <c r="Q44" t="s">
        <v>579</v>
      </c>
      <c r="R44" t="s">
        <v>865</v>
      </c>
      <c r="S44" t="s">
        <v>667</v>
      </c>
      <c r="T44" t="s">
        <v>821</v>
      </c>
    </row>
    <row r="45" spans="1:20" x14ac:dyDescent="0.25">
      <c r="A45" t="s">
        <v>683</v>
      </c>
      <c r="B45" t="s">
        <v>578</v>
      </c>
      <c r="C45" t="s">
        <v>577</v>
      </c>
      <c r="D45" t="s">
        <v>581</v>
      </c>
      <c r="E45" t="s">
        <v>582</v>
      </c>
      <c r="J45" t="s">
        <v>583</v>
      </c>
      <c r="K45" t="s">
        <v>445</v>
      </c>
      <c r="L45" t="s">
        <v>407</v>
      </c>
      <c r="M45" t="s">
        <v>450</v>
      </c>
      <c r="N45" t="s">
        <v>400</v>
      </c>
      <c r="Q45" t="s">
        <v>584</v>
      </c>
      <c r="R45" t="s">
        <v>864</v>
      </c>
      <c r="S45" t="s">
        <v>650</v>
      </c>
      <c r="T45" t="s">
        <v>821</v>
      </c>
    </row>
    <row r="46" spans="1:20" x14ac:dyDescent="0.25">
      <c r="A46" t="s">
        <v>683</v>
      </c>
      <c r="B46" t="s">
        <v>578</v>
      </c>
      <c r="C46" t="s">
        <v>577</v>
      </c>
      <c r="D46" t="s">
        <v>585</v>
      </c>
      <c r="E46" t="s">
        <v>586</v>
      </c>
      <c r="J46" t="s">
        <v>436</v>
      </c>
      <c r="K46" t="s">
        <v>449</v>
      </c>
      <c r="L46" t="s">
        <v>402</v>
      </c>
      <c r="Q46" t="s">
        <v>587</v>
      </c>
      <c r="R46" t="s">
        <v>863</v>
      </c>
      <c r="S46" t="s">
        <v>666</v>
      </c>
      <c r="T46" t="s">
        <v>821</v>
      </c>
    </row>
    <row r="47" spans="1:20" x14ac:dyDescent="0.25">
      <c r="A47" t="s">
        <v>683</v>
      </c>
      <c r="B47" t="s">
        <v>588</v>
      </c>
      <c r="C47" t="s">
        <v>589</v>
      </c>
      <c r="J47" t="s">
        <v>436</v>
      </c>
      <c r="K47" t="s">
        <v>443</v>
      </c>
      <c r="L47" t="s">
        <v>405</v>
      </c>
      <c r="M47" t="s">
        <v>450</v>
      </c>
      <c r="N47" t="s">
        <v>400</v>
      </c>
      <c r="R47" t="s">
        <v>862</v>
      </c>
      <c r="S47" t="s">
        <v>580</v>
      </c>
      <c r="T47" t="s">
        <v>821</v>
      </c>
    </row>
    <row r="48" spans="1:20" x14ac:dyDescent="0.25">
      <c r="A48" t="s">
        <v>683</v>
      </c>
      <c r="B48" t="s">
        <v>588</v>
      </c>
      <c r="C48" t="s">
        <v>589</v>
      </c>
      <c r="D48" t="s">
        <v>590</v>
      </c>
      <c r="E48" t="s">
        <v>591</v>
      </c>
      <c r="J48" t="s">
        <v>702</v>
      </c>
      <c r="K48" t="s">
        <v>443</v>
      </c>
      <c r="L48" t="s">
        <v>405</v>
      </c>
      <c r="Q48" t="s">
        <v>592</v>
      </c>
      <c r="R48" t="s">
        <v>861</v>
      </c>
      <c r="S48" t="s">
        <v>580</v>
      </c>
      <c r="T48" t="s">
        <v>821</v>
      </c>
    </row>
    <row r="49" spans="1:20" x14ac:dyDescent="0.25">
      <c r="A49" t="s">
        <v>683</v>
      </c>
      <c r="B49" t="s">
        <v>588</v>
      </c>
      <c r="C49" t="s">
        <v>589</v>
      </c>
      <c r="D49" t="s">
        <v>593</v>
      </c>
      <c r="E49" t="s">
        <v>594</v>
      </c>
      <c r="J49" t="s">
        <v>753</v>
      </c>
      <c r="K49" t="s">
        <v>443</v>
      </c>
      <c r="L49" t="s">
        <v>405</v>
      </c>
      <c r="M49" t="s">
        <v>451</v>
      </c>
      <c r="N49" t="s">
        <v>401</v>
      </c>
      <c r="Q49" t="s">
        <v>595</v>
      </c>
      <c r="R49" t="s">
        <v>860</v>
      </c>
      <c r="S49" t="s">
        <v>669</v>
      </c>
      <c r="T49" t="s">
        <v>821</v>
      </c>
    </row>
    <row r="50" spans="1:20" x14ac:dyDescent="0.25">
      <c r="A50" t="s">
        <v>683</v>
      </c>
      <c r="B50" t="s">
        <v>588</v>
      </c>
      <c r="C50" t="s">
        <v>589</v>
      </c>
      <c r="D50" t="s">
        <v>596</v>
      </c>
      <c r="E50" t="s">
        <v>597</v>
      </c>
      <c r="J50" t="s">
        <v>434</v>
      </c>
      <c r="K50" t="s">
        <v>450</v>
      </c>
      <c r="L50" t="s">
        <v>400</v>
      </c>
      <c r="M50" t="s">
        <v>445</v>
      </c>
      <c r="N50" t="s">
        <v>407</v>
      </c>
      <c r="Q50" t="s">
        <v>598</v>
      </c>
      <c r="R50" t="s">
        <v>859</v>
      </c>
      <c r="S50" t="s">
        <v>668</v>
      </c>
      <c r="T50" t="s">
        <v>821</v>
      </c>
    </row>
    <row r="51" spans="1:20" x14ac:dyDescent="0.25">
      <c r="A51" t="s">
        <v>683</v>
      </c>
      <c r="B51" t="s">
        <v>588</v>
      </c>
      <c r="C51" t="s">
        <v>589</v>
      </c>
      <c r="D51" t="s">
        <v>599</v>
      </c>
      <c r="E51" t="s">
        <v>28</v>
      </c>
      <c r="J51" t="s">
        <v>436</v>
      </c>
      <c r="K51" t="s">
        <v>449</v>
      </c>
      <c r="L51" t="s">
        <v>400</v>
      </c>
      <c r="M51" t="s">
        <v>450</v>
      </c>
      <c r="N51" t="s">
        <v>400</v>
      </c>
      <c r="Q51" t="s">
        <v>600</v>
      </c>
      <c r="R51" t="s">
        <v>858</v>
      </c>
      <c r="S51" t="s">
        <v>580</v>
      </c>
      <c r="T51" t="s">
        <v>821</v>
      </c>
    </row>
    <row r="52" spans="1:20" x14ac:dyDescent="0.25">
      <c r="A52" t="s">
        <v>683</v>
      </c>
      <c r="D52" t="s">
        <v>613</v>
      </c>
      <c r="E52" t="s">
        <v>115</v>
      </c>
      <c r="J52" t="s">
        <v>755</v>
      </c>
      <c r="K52" t="s">
        <v>449</v>
      </c>
      <c r="L52" t="s">
        <v>402</v>
      </c>
      <c r="M52" t="s">
        <v>563</v>
      </c>
      <c r="N52" t="s">
        <v>564</v>
      </c>
      <c r="Q52" t="s">
        <v>614</v>
      </c>
      <c r="R52" t="s">
        <v>857</v>
      </c>
      <c r="S52" t="s">
        <v>646</v>
      </c>
      <c r="T52" t="s">
        <v>821</v>
      </c>
    </row>
    <row r="53" spans="1:20" x14ac:dyDescent="0.25">
      <c r="A53" t="s">
        <v>683</v>
      </c>
      <c r="B53" t="s">
        <v>615</v>
      </c>
      <c r="C53" t="s">
        <v>160</v>
      </c>
      <c r="J53" t="s">
        <v>755</v>
      </c>
      <c r="K53" t="s">
        <v>563</v>
      </c>
      <c r="L53" t="s">
        <v>564</v>
      </c>
      <c r="M53" t="s">
        <v>437</v>
      </c>
      <c r="N53" t="s">
        <v>409</v>
      </c>
      <c r="Q53" t="s">
        <v>616</v>
      </c>
      <c r="R53" t="s">
        <v>857</v>
      </c>
      <c r="S53" t="s">
        <v>580</v>
      </c>
      <c r="T53" t="s">
        <v>821</v>
      </c>
    </row>
    <row r="54" spans="1:20" x14ac:dyDescent="0.25">
      <c r="A54" t="s">
        <v>683</v>
      </c>
      <c r="D54" t="s">
        <v>617</v>
      </c>
      <c r="E54" t="s">
        <v>618</v>
      </c>
      <c r="J54" t="s">
        <v>755</v>
      </c>
      <c r="K54" t="s">
        <v>449</v>
      </c>
      <c r="L54" t="s">
        <v>402</v>
      </c>
      <c r="M54" t="s">
        <v>446</v>
      </c>
      <c r="N54" t="s">
        <v>399</v>
      </c>
      <c r="Q54" t="s">
        <v>619</v>
      </c>
      <c r="R54" t="s">
        <v>856</v>
      </c>
      <c r="S54" t="s">
        <v>666</v>
      </c>
      <c r="T54" t="s">
        <v>821</v>
      </c>
    </row>
    <row r="55" spans="1:20" x14ac:dyDescent="0.25">
      <c r="A55" t="s">
        <v>683</v>
      </c>
      <c r="D55" t="s">
        <v>620</v>
      </c>
      <c r="E55" t="s">
        <v>621</v>
      </c>
      <c r="J55" t="s">
        <v>755</v>
      </c>
      <c r="K55" t="s">
        <v>446</v>
      </c>
      <c r="L55" t="s">
        <v>399</v>
      </c>
      <c r="M55" t="s">
        <v>443</v>
      </c>
      <c r="N55" t="s">
        <v>405</v>
      </c>
      <c r="Q55" t="s">
        <v>622</v>
      </c>
      <c r="R55" t="s">
        <v>855</v>
      </c>
      <c r="S55" t="s">
        <v>580</v>
      </c>
      <c r="T55" t="s">
        <v>821</v>
      </c>
    </row>
    <row r="56" spans="1:20" x14ac:dyDescent="0.25">
      <c r="A56" t="s">
        <v>683</v>
      </c>
      <c r="B56" t="s">
        <v>623</v>
      </c>
      <c r="C56" t="s">
        <v>624</v>
      </c>
      <c r="J56" t="s">
        <v>755</v>
      </c>
      <c r="K56" t="s">
        <v>437</v>
      </c>
      <c r="L56" t="s">
        <v>409</v>
      </c>
      <c r="M56" t="s">
        <v>563</v>
      </c>
      <c r="N56" t="s">
        <v>564</v>
      </c>
      <c r="Q56" t="s">
        <v>625</v>
      </c>
      <c r="R56" t="s">
        <v>854</v>
      </c>
      <c r="S56" t="s">
        <v>580</v>
      </c>
      <c r="T56" t="s">
        <v>821</v>
      </c>
    </row>
    <row r="57" spans="1:20" x14ac:dyDescent="0.25">
      <c r="A57" t="s">
        <v>683</v>
      </c>
      <c r="B57" t="s">
        <v>623</v>
      </c>
      <c r="C57" t="s">
        <v>624</v>
      </c>
      <c r="D57" t="s">
        <v>626</v>
      </c>
      <c r="E57" t="s">
        <v>150</v>
      </c>
      <c r="J57" t="s">
        <v>755</v>
      </c>
      <c r="K57" t="s">
        <v>437</v>
      </c>
      <c r="L57" t="s">
        <v>409</v>
      </c>
      <c r="M57" t="s">
        <v>563</v>
      </c>
      <c r="N57" t="s">
        <v>564</v>
      </c>
      <c r="Q57" t="s">
        <v>470</v>
      </c>
      <c r="R57" t="s">
        <v>853</v>
      </c>
      <c r="S57" t="s">
        <v>580</v>
      </c>
      <c r="T57" t="s">
        <v>821</v>
      </c>
    </row>
    <row r="58" spans="1:20" x14ac:dyDescent="0.25">
      <c r="A58" t="s">
        <v>683</v>
      </c>
      <c r="B58" t="s">
        <v>627</v>
      </c>
      <c r="C58" t="s">
        <v>628</v>
      </c>
      <c r="J58" t="s">
        <v>755</v>
      </c>
      <c r="K58" t="s">
        <v>437</v>
      </c>
      <c r="L58" t="s">
        <v>409</v>
      </c>
      <c r="M58" t="s">
        <v>563</v>
      </c>
      <c r="N58" t="s">
        <v>564</v>
      </c>
      <c r="R58" t="s">
        <v>852</v>
      </c>
      <c r="S58" t="s">
        <v>580</v>
      </c>
      <c r="T58" t="s">
        <v>821</v>
      </c>
    </row>
    <row r="59" spans="1:20" x14ac:dyDescent="0.25">
      <c r="A59" t="s">
        <v>683</v>
      </c>
      <c r="B59" t="s">
        <v>629</v>
      </c>
      <c r="C59" t="s">
        <v>630</v>
      </c>
      <c r="J59" t="s">
        <v>755</v>
      </c>
      <c r="K59" t="s">
        <v>447</v>
      </c>
      <c r="L59" t="s">
        <v>404</v>
      </c>
      <c r="M59" t="s">
        <v>449</v>
      </c>
      <c r="N59" t="s">
        <v>402</v>
      </c>
      <c r="Q59" t="s">
        <v>631</v>
      </c>
      <c r="R59" t="s">
        <v>851</v>
      </c>
      <c r="S59" t="s">
        <v>666</v>
      </c>
      <c r="T59" t="s">
        <v>821</v>
      </c>
    </row>
    <row r="60" spans="1:20" x14ac:dyDescent="0.25">
      <c r="A60" t="s">
        <v>683</v>
      </c>
      <c r="B60" t="s">
        <v>632</v>
      </c>
      <c r="C60" t="s">
        <v>633</v>
      </c>
      <c r="J60" t="s">
        <v>755</v>
      </c>
      <c r="K60" t="s">
        <v>449</v>
      </c>
      <c r="L60" t="s">
        <v>402</v>
      </c>
      <c r="M60" t="s">
        <v>437</v>
      </c>
      <c r="N60" t="s">
        <v>409</v>
      </c>
      <c r="R60" t="s">
        <v>850</v>
      </c>
      <c r="S60" t="s">
        <v>580</v>
      </c>
      <c r="T60" t="s">
        <v>821</v>
      </c>
    </row>
    <row r="61" spans="1:20" x14ac:dyDescent="0.25">
      <c r="A61" t="s">
        <v>683</v>
      </c>
      <c r="B61" t="s">
        <v>634</v>
      </c>
      <c r="C61" t="s">
        <v>635</v>
      </c>
      <c r="J61" t="s">
        <v>434</v>
      </c>
      <c r="K61" t="s">
        <v>449</v>
      </c>
      <c r="L61" t="s">
        <v>402</v>
      </c>
      <c r="M61" t="s">
        <v>446</v>
      </c>
      <c r="N61" t="s">
        <v>399</v>
      </c>
      <c r="Q61" t="s">
        <v>636</v>
      </c>
      <c r="R61" t="s">
        <v>849</v>
      </c>
      <c r="S61" t="s">
        <v>637</v>
      </c>
      <c r="T61" t="s">
        <v>821</v>
      </c>
    </row>
    <row r="62" spans="1:20" x14ac:dyDescent="0.25">
      <c r="A62" t="s">
        <v>683</v>
      </c>
      <c r="B62" t="s">
        <v>634</v>
      </c>
      <c r="C62" t="s">
        <v>635</v>
      </c>
      <c r="D62" t="s">
        <v>638</v>
      </c>
      <c r="E62" t="s">
        <v>639</v>
      </c>
      <c r="J62" t="s">
        <v>434</v>
      </c>
      <c r="K62" t="s">
        <v>449</v>
      </c>
      <c r="L62" t="s">
        <v>402</v>
      </c>
      <c r="M62" t="s">
        <v>563</v>
      </c>
      <c r="N62" t="s">
        <v>564</v>
      </c>
      <c r="R62" t="s">
        <v>848</v>
      </c>
      <c r="S62" t="s">
        <v>675</v>
      </c>
      <c r="T62" t="s">
        <v>821</v>
      </c>
    </row>
    <row r="63" spans="1:20" x14ac:dyDescent="0.25">
      <c r="A63" t="s">
        <v>683</v>
      </c>
      <c r="B63" t="s">
        <v>640</v>
      </c>
      <c r="C63" t="s">
        <v>641</v>
      </c>
      <c r="J63" t="s">
        <v>436</v>
      </c>
      <c r="K63" t="s">
        <v>443</v>
      </c>
      <c r="L63" t="s">
        <v>405</v>
      </c>
      <c r="M63" t="s">
        <v>446</v>
      </c>
      <c r="N63" t="s">
        <v>399</v>
      </c>
      <c r="Q63" t="s">
        <v>642</v>
      </c>
      <c r="R63" t="s">
        <v>847</v>
      </c>
      <c r="S63" t="s">
        <v>660</v>
      </c>
      <c r="T63" t="s">
        <v>821</v>
      </c>
    </row>
    <row r="64" spans="1:20" x14ac:dyDescent="0.25">
      <c r="A64" t="s">
        <v>683</v>
      </c>
      <c r="B64" t="s">
        <v>681</v>
      </c>
      <c r="C64" t="s">
        <v>677</v>
      </c>
      <c r="J64" t="s">
        <v>643</v>
      </c>
      <c r="K64" t="s">
        <v>443</v>
      </c>
      <c r="L64" t="s">
        <v>405</v>
      </c>
      <c r="M64" t="s">
        <v>446</v>
      </c>
      <c r="N64" t="s">
        <v>399</v>
      </c>
      <c r="Q64" t="s">
        <v>684</v>
      </c>
      <c r="R64" t="s">
        <v>846</v>
      </c>
      <c r="S64" t="s">
        <v>644</v>
      </c>
      <c r="T64" t="s">
        <v>821</v>
      </c>
    </row>
    <row r="1001" spans="5:18" x14ac:dyDescent="0.25">
      <c r="E1001" t="s">
        <v>2</v>
      </c>
      <c r="F1001" t="s">
        <v>3</v>
      </c>
      <c r="G1001" t="s">
        <v>1</v>
      </c>
      <c r="H1001" t="s">
        <v>4</v>
      </c>
      <c r="I1001" t="s">
        <v>18</v>
      </c>
      <c r="J1001" t="s">
        <v>19</v>
      </c>
      <c r="K1001" t="s">
        <v>0</v>
      </c>
      <c r="L1001" t="s">
        <v>5</v>
      </c>
      <c r="M1001" t="s">
        <v>382</v>
      </c>
      <c r="N1001" t="s">
        <v>384</v>
      </c>
      <c r="O1001" t="s">
        <v>385</v>
      </c>
      <c r="P1001" t="s">
        <v>386</v>
      </c>
      <c r="R1001" t="s">
        <v>433</v>
      </c>
    </row>
    <row r="1002" spans="5:18" x14ac:dyDescent="0.25">
      <c r="E1002" t="s">
        <v>210</v>
      </c>
      <c r="F1002" t="s">
        <v>48</v>
      </c>
      <c r="G1002" t="s">
        <v>216</v>
      </c>
      <c r="H1002" t="s">
        <v>6</v>
      </c>
      <c r="I1002" t="s">
        <v>223</v>
      </c>
      <c r="J1002" t="s">
        <v>54</v>
      </c>
      <c r="K1002" t="s">
        <v>258</v>
      </c>
      <c r="L1002" t="s">
        <v>96</v>
      </c>
      <c r="M1002" t="s">
        <v>437</v>
      </c>
      <c r="N1002" t="s">
        <v>409</v>
      </c>
      <c r="O1002" t="s">
        <v>437</v>
      </c>
      <c r="P1002" t="s">
        <v>409</v>
      </c>
      <c r="R1002" t="s">
        <v>434</v>
      </c>
    </row>
    <row r="1003" spans="5:18" x14ac:dyDescent="0.25">
      <c r="E1003" t="s">
        <v>211</v>
      </c>
      <c r="F1003" t="s">
        <v>49</v>
      </c>
      <c r="G1003" t="s">
        <v>217</v>
      </c>
      <c r="H1003" t="s">
        <v>7</v>
      </c>
      <c r="I1003" t="s">
        <v>224</v>
      </c>
      <c r="J1003" t="s">
        <v>62</v>
      </c>
      <c r="K1003" t="s">
        <v>259</v>
      </c>
      <c r="L1003" t="s">
        <v>97</v>
      </c>
      <c r="M1003" t="s">
        <v>438</v>
      </c>
      <c r="N1003" t="s">
        <v>413</v>
      </c>
      <c r="O1003" t="s">
        <v>438</v>
      </c>
      <c r="P1003" t="s">
        <v>413</v>
      </c>
      <c r="R1003" t="s">
        <v>436</v>
      </c>
    </row>
    <row r="1004" spans="5:18" x14ac:dyDescent="0.25">
      <c r="E1004" t="s">
        <v>212</v>
      </c>
      <c r="F1004" t="s">
        <v>50</v>
      </c>
      <c r="G1004" t="s">
        <v>218</v>
      </c>
      <c r="H1004" t="s">
        <v>16</v>
      </c>
      <c r="I1004" t="s">
        <v>225</v>
      </c>
      <c r="J1004" t="s">
        <v>55</v>
      </c>
      <c r="K1004" t="s">
        <v>260</v>
      </c>
      <c r="L1004" t="s">
        <v>98</v>
      </c>
      <c r="M1004" t="s">
        <v>439</v>
      </c>
      <c r="N1004" t="s">
        <v>410</v>
      </c>
      <c r="O1004" t="s">
        <v>439</v>
      </c>
      <c r="P1004" t="s">
        <v>410</v>
      </c>
      <c r="R1004" t="s">
        <v>435</v>
      </c>
    </row>
    <row r="1005" spans="5:18" x14ac:dyDescent="0.25">
      <c r="E1005" t="s">
        <v>213</v>
      </c>
      <c r="F1005" t="s">
        <v>51</v>
      </c>
      <c r="G1005" t="s">
        <v>219</v>
      </c>
      <c r="H1005" t="s">
        <v>17</v>
      </c>
      <c r="I1005" t="s">
        <v>226</v>
      </c>
      <c r="J1005" t="s">
        <v>63</v>
      </c>
      <c r="K1005" t="s">
        <v>261</v>
      </c>
      <c r="L1005" t="s">
        <v>99</v>
      </c>
      <c r="M1005" t="s">
        <v>440</v>
      </c>
      <c r="N1005" t="s">
        <v>411</v>
      </c>
      <c r="O1005" t="s">
        <v>440</v>
      </c>
      <c r="P1005" t="s">
        <v>411</v>
      </c>
      <c r="R1005" t="s">
        <v>583</v>
      </c>
    </row>
    <row r="1006" spans="5:18" x14ac:dyDescent="0.25">
      <c r="E1006" t="s">
        <v>214</v>
      </c>
      <c r="F1006" t="s">
        <v>52</v>
      </c>
      <c r="G1006" t="s">
        <v>220</v>
      </c>
      <c r="H1006" t="s">
        <v>10</v>
      </c>
      <c r="I1006" t="s">
        <v>227</v>
      </c>
      <c r="J1006" t="s">
        <v>64</v>
      </c>
      <c r="K1006" t="s">
        <v>262</v>
      </c>
      <c r="L1006" t="s">
        <v>32</v>
      </c>
      <c r="M1006" t="s">
        <v>441</v>
      </c>
      <c r="N1006" t="s">
        <v>412</v>
      </c>
      <c r="O1006" t="s">
        <v>441</v>
      </c>
      <c r="P1006" t="s">
        <v>412</v>
      </c>
      <c r="R1006" t="s">
        <v>643</v>
      </c>
    </row>
    <row r="1007" spans="5:18" x14ac:dyDescent="0.25">
      <c r="E1007" t="s">
        <v>215</v>
      </c>
      <c r="F1007" t="s">
        <v>53</v>
      </c>
      <c r="G1007" t="s">
        <v>221</v>
      </c>
      <c r="H1007" t="s">
        <v>11</v>
      </c>
      <c r="I1007" t="s">
        <v>228</v>
      </c>
      <c r="J1007" t="s">
        <v>65</v>
      </c>
      <c r="K1007" t="s">
        <v>263</v>
      </c>
      <c r="L1007" t="s">
        <v>100</v>
      </c>
      <c r="M1007" t="s">
        <v>442</v>
      </c>
      <c r="N1007" t="s">
        <v>408</v>
      </c>
      <c r="O1007" t="s">
        <v>442</v>
      </c>
      <c r="P1007" t="s">
        <v>408</v>
      </c>
      <c r="R1007" t="s">
        <v>702</v>
      </c>
    </row>
    <row r="1008" spans="5:18" x14ac:dyDescent="0.25">
      <c r="G1008" t="s">
        <v>222</v>
      </c>
      <c r="H1008" t="s">
        <v>8</v>
      </c>
      <c r="I1008" t="s">
        <v>229</v>
      </c>
      <c r="J1008" t="s">
        <v>56</v>
      </c>
      <c r="K1008" t="s">
        <v>264</v>
      </c>
      <c r="L1008" t="s">
        <v>101</v>
      </c>
      <c r="M1008" t="s">
        <v>443</v>
      </c>
      <c r="N1008" t="s">
        <v>405</v>
      </c>
      <c r="O1008" t="s">
        <v>443</v>
      </c>
      <c r="P1008" t="s">
        <v>405</v>
      </c>
      <c r="R1008" t="s">
        <v>753</v>
      </c>
    </row>
    <row r="1009" spans="7:18" x14ac:dyDescent="0.25">
      <c r="G1009" t="s">
        <v>20</v>
      </c>
      <c r="H1009" t="s">
        <v>9</v>
      </c>
      <c r="I1009" t="s">
        <v>230</v>
      </c>
      <c r="J1009" t="s">
        <v>67</v>
      </c>
      <c r="K1009" t="s">
        <v>265</v>
      </c>
      <c r="L1009" t="s">
        <v>27</v>
      </c>
      <c r="M1009" t="s">
        <v>444</v>
      </c>
      <c r="N1009" t="s">
        <v>406</v>
      </c>
      <c r="O1009" t="s">
        <v>444</v>
      </c>
      <c r="P1009" t="s">
        <v>406</v>
      </c>
      <c r="R1009" t="s">
        <v>755</v>
      </c>
    </row>
    <row r="1010" spans="7:18" x14ac:dyDescent="0.25">
      <c r="G1010" t="s">
        <v>21</v>
      </c>
      <c r="H1010" t="s">
        <v>12</v>
      </c>
      <c r="I1010" t="s">
        <v>231</v>
      </c>
      <c r="J1010" t="s">
        <v>66</v>
      </c>
      <c r="K1010" t="s">
        <v>266</v>
      </c>
      <c r="L1010" t="s">
        <v>102</v>
      </c>
      <c r="M1010" t="s">
        <v>445</v>
      </c>
      <c r="N1010" t="s">
        <v>407</v>
      </c>
      <c r="O1010" t="s">
        <v>445</v>
      </c>
      <c r="P1010" t="s">
        <v>407</v>
      </c>
    </row>
    <row r="1011" spans="7:18" x14ac:dyDescent="0.25">
      <c r="G1011" t="s">
        <v>22</v>
      </c>
      <c r="H1011" t="s">
        <v>13</v>
      </c>
      <c r="I1011" t="s">
        <v>232</v>
      </c>
      <c r="J1011" t="s">
        <v>68</v>
      </c>
      <c r="K1011" t="s">
        <v>267</v>
      </c>
      <c r="L1011" t="s">
        <v>103</v>
      </c>
      <c r="M1011" t="s">
        <v>446</v>
      </c>
      <c r="N1011" t="s">
        <v>399</v>
      </c>
      <c r="O1011" t="s">
        <v>446</v>
      </c>
      <c r="P1011" t="s">
        <v>399</v>
      </c>
    </row>
    <row r="1012" spans="7:18" x14ac:dyDescent="0.25">
      <c r="G1012" t="s">
        <v>23</v>
      </c>
      <c r="H1012" t="s">
        <v>14</v>
      </c>
      <c r="I1012" t="s">
        <v>233</v>
      </c>
      <c r="J1012" t="s">
        <v>70</v>
      </c>
      <c r="K1012" t="s">
        <v>268</v>
      </c>
      <c r="L1012" t="s">
        <v>104</v>
      </c>
      <c r="M1012" t="s">
        <v>447</v>
      </c>
      <c r="N1012" t="s">
        <v>404</v>
      </c>
      <c r="O1012" t="s">
        <v>447</v>
      </c>
      <c r="P1012" t="s">
        <v>404</v>
      </c>
    </row>
    <row r="1013" spans="7:18" x14ac:dyDescent="0.25">
      <c r="G1013" t="s">
        <v>24</v>
      </c>
      <c r="H1013" t="s">
        <v>15</v>
      </c>
      <c r="I1013" t="s">
        <v>234</v>
      </c>
      <c r="J1013" t="s">
        <v>71</v>
      </c>
      <c r="K1013" t="s">
        <v>269</v>
      </c>
      <c r="L1013" t="s">
        <v>105</v>
      </c>
      <c r="M1013" t="s">
        <v>448</v>
      </c>
      <c r="N1013" t="s">
        <v>403</v>
      </c>
      <c r="O1013" t="s">
        <v>448</v>
      </c>
      <c r="P1013" t="s">
        <v>403</v>
      </c>
    </row>
    <row r="1014" spans="7:18" x14ac:dyDescent="0.25">
      <c r="G1014" t="s">
        <v>29</v>
      </c>
      <c r="H1014" t="s">
        <v>25</v>
      </c>
      <c r="I1014" t="s">
        <v>235</v>
      </c>
      <c r="J1014" t="s">
        <v>73</v>
      </c>
      <c r="K1014" t="s">
        <v>270</v>
      </c>
      <c r="L1014" t="s">
        <v>106</v>
      </c>
      <c r="M1014" t="s">
        <v>449</v>
      </c>
      <c r="N1014" t="s">
        <v>402</v>
      </c>
      <c r="O1014" t="s">
        <v>449</v>
      </c>
      <c r="P1014" t="s">
        <v>402</v>
      </c>
    </row>
    <row r="1015" spans="7:18" x14ac:dyDescent="0.25">
      <c r="G1015" t="s">
        <v>39</v>
      </c>
      <c r="H1015" t="s">
        <v>28</v>
      </c>
      <c r="I1015" t="s">
        <v>236</v>
      </c>
      <c r="J1015" t="s">
        <v>74</v>
      </c>
      <c r="K1015" t="s">
        <v>271</v>
      </c>
      <c r="L1015" t="s">
        <v>107</v>
      </c>
      <c r="M1015" t="s">
        <v>450</v>
      </c>
      <c r="N1015" t="s">
        <v>400</v>
      </c>
      <c r="O1015" t="s">
        <v>450</v>
      </c>
      <c r="P1015" t="s">
        <v>400</v>
      </c>
    </row>
    <row r="1016" spans="7:18" x14ac:dyDescent="0.25">
      <c r="G1016" t="s">
        <v>40</v>
      </c>
      <c r="H1016" t="s">
        <v>30</v>
      </c>
      <c r="I1016" t="s">
        <v>237</v>
      </c>
      <c r="J1016" t="s">
        <v>59</v>
      </c>
      <c r="K1016" t="s">
        <v>272</v>
      </c>
      <c r="L1016" t="s">
        <v>108</v>
      </c>
      <c r="M1016" t="s">
        <v>451</v>
      </c>
      <c r="N1016" t="s">
        <v>401</v>
      </c>
      <c r="O1016" t="s">
        <v>451</v>
      </c>
      <c r="P1016" t="s">
        <v>401</v>
      </c>
    </row>
    <row r="1017" spans="7:18" x14ac:dyDescent="0.25">
      <c r="G1017" t="s">
        <v>41</v>
      </c>
      <c r="H1017" t="s">
        <v>33</v>
      </c>
      <c r="I1017" t="s">
        <v>238</v>
      </c>
      <c r="J1017" t="s">
        <v>75</v>
      </c>
      <c r="K1017" t="s">
        <v>273</v>
      </c>
      <c r="L1017" t="s">
        <v>109</v>
      </c>
      <c r="M1017" t="s">
        <v>452</v>
      </c>
      <c r="N1017" t="s">
        <v>388</v>
      </c>
      <c r="O1017" t="s">
        <v>452</v>
      </c>
      <c r="P1017" t="s">
        <v>388</v>
      </c>
    </row>
    <row r="1018" spans="7:18" x14ac:dyDescent="0.25">
      <c r="G1018" t="s">
        <v>42</v>
      </c>
      <c r="H1018" t="s">
        <v>34</v>
      </c>
      <c r="I1018" t="s">
        <v>239</v>
      </c>
      <c r="J1018" t="s">
        <v>76</v>
      </c>
      <c r="K1018" t="s">
        <v>274</v>
      </c>
      <c r="L1018" t="s">
        <v>110</v>
      </c>
      <c r="M1018" t="s">
        <v>453</v>
      </c>
      <c r="N1018" t="s">
        <v>395</v>
      </c>
      <c r="O1018" t="s">
        <v>453</v>
      </c>
      <c r="P1018" t="s">
        <v>395</v>
      </c>
    </row>
    <row r="1019" spans="7:18" x14ac:dyDescent="0.25">
      <c r="G1019" t="s">
        <v>43</v>
      </c>
      <c r="H1019" t="s">
        <v>35</v>
      </c>
      <c r="I1019" t="s">
        <v>240</v>
      </c>
      <c r="J1019" t="s">
        <v>79</v>
      </c>
      <c r="K1019" t="s">
        <v>275</v>
      </c>
      <c r="L1019" t="s">
        <v>111</v>
      </c>
      <c r="M1019" t="s">
        <v>454</v>
      </c>
      <c r="N1019" t="s">
        <v>393</v>
      </c>
      <c r="O1019" t="s">
        <v>454</v>
      </c>
      <c r="P1019" t="s">
        <v>393</v>
      </c>
    </row>
    <row r="1020" spans="7:18" x14ac:dyDescent="0.25">
      <c r="G1020" t="s">
        <v>44</v>
      </c>
      <c r="H1020" t="s">
        <v>36</v>
      </c>
      <c r="I1020" t="s">
        <v>241</v>
      </c>
      <c r="J1020" t="s">
        <v>80</v>
      </c>
      <c r="K1020" t="s">
        <v>276</v>
      </c>
      <c r="L1020" t="s">
        <v>112</v>
      </c>
      <c r="M1020" t="s">
        <v>455</v>
      </c>
      <c r="N1020" t="s">
        <v>390</v>
      </c>
      <c r="O1020" t="s">
        <v>455</v>
      </c>
      <c r="P1020" t="s">
        <v>390</v>
      </c>
    </row>
    <row r="1021" spans="7:18" x14ac:dyDescent="0.25">
      <c r="G1021" t="s">
        <v>45</v>
      </c>
      <c r="H1021" t="s">
        <v>37</v>
      </c>
      <c r="I1021" t="s">
        <v>242</v>
      </c>
      <c r="J1021" t="s">
        <v>81</v>
      </c>
      <c r="K1021" t="s">
        <v>277</v>
      </c>
      <c r="L1021" t="s">
        <v>113</v>
      </c>
      <c r="M1021" t="s">
        <v>456</v>
      </c>
      <c r="N1021" t="s">
        <v>389</v>
      </c>
      <c r="O1021" t="s">
        <v>456</v>
      </c>
      <c r="P1021" t="s">
        <v>389</v>
      </c>
    </row>
    <row r="1022" spans="7:18" x14ac:dyDescent="0.25">
      <c r="G1022" t="s">
        <v>46</v>
      </c>
      <c r="H1022" t="s">
        <v>38</v>
      </c>
      <c r="I1022" t="s">
        <v>243</v>
      </c>
      <c r="J1022" t="s">
        <v>83</v>
      </c>
      <c r="K1022" t="s">
        <v>278</v>
      </c>
      <c r="L1022" t="s">
        <v>114</v>
      </c>
      <c r="M1022" t="s">
        <v>457</v>
      </c>
      <c r="N1022" t="s">
        <v>391</v>
      </c>
      <c r="O1022" t="s">
        <v>457</v>
      </c>
      <c r="P1022" t="s">
        <v>391</v>
      </c>
    </row>
    <row r="1023" spans="7:18" x14ac:dyDescent="0.25">
      <c r="G1023" t="s">
        <v>47</v>
      </c>
      <c r="H1023" t="s">
        <v>31</v>
      </c>
      <c r="I1023" t="s">
        <v>244</v>
      </c>
      <c r="J1023" t="s">
        <v>84</v>
      </c>
      <c r="K1023" t="s">
        <v>279</v>
      </c>
      <c r="L1023" t="s">
        <v>57</v>
      </c>
      <c r="M1023" t="s">
        <v>458</v>
      </c>
      <c r="N1023" t="s">
        <v>392</v>
      </c>
      <c r="O1023" t="s">
        <v>458</v>
      </c>
      <c r="P1023" t="s">
        <v>392</v>
      </c>
    </row>
    <row r="1024" spans="7:18" x14ac:dyDescent="0.25">
      <c r="I1024" t="s">
        <v>245</v>
      </c>
      <c r="J1024" t="s">
        <v>82</v>
      </c>
      <c r="K1024" t="s">
        <v>280</v>
      </c>
      <c r="L1024" t="s">
        <v>115</v>
      </c>
      <c r="M1024" t="s">
        <v>459</v>
      </c>
      <c r="N1024" t="s">
        <v>394</v>
      </c>
      <c r="O1024" t="s">
        <v>459</v>
      </c>
      <c r="P1024" t="s">
        <v>394</v>
      </c>
    </row>
    <row r="1025" spans="9:16" x14ac:dyDescent="0.25">
      <c r="I1025" t="s">
        <v>246</v>
      </c>
      <c r="J1025" t="s">
        <v>85</v>
      </c>
      <c r="K1025" t="s">
        <v>281</v>
      </c>
      <c r="L1025" t="s">
        <v>116</v>
      </c>
      <c r="M1025" t="s">
        <v>460</v>
      </c>
      <c r="N1025" t="s">
        <v>396</v>
      </c>
      <c r="O1025" t="s">
        <v>460</v>
      </c>
      <c r="P1025" t="s">
        <v>396</v>
      </c>
    </row>
    <row r="1026" spans="9:16" x14ac:dyDescent="0.25">
      <c r="I1026" t="s">
        <v>247</v>
      </c>
      <c r="J1026" t="s">
        <v>86</v>
      </c>
      <c r="K1026" t="s">
        <v>282</v>
      </c>
      <c r="L1026" t="s">
        <v>117</v>
      </c>
      <c r="M1026" t="s">
        <v>461</v>
      </c>
      <c r="N1026" t="s">
        <v>397</v>
      </c>
      <c r="O1026" t="s">
        <v>461</v>
      </c>
      <c r="P1026" t="s">
        <v>397</v>
      </c>
    </row>
    <row r="1027" spans="9:16" x14ac:dyDescent="0.25">
      <c r="I1027" t="s">
        <v>248</v>
      </c>
      <c r="J1027" t="s">
        <v>87</v>
      </c>
      <c r="K1027" t="s">
        <v>283</v>
      </c>
      <c r="L1027" t="s">
        <v>118</v>
      </c>
      <c r="M1027" t="s">
        <v>462</v>
      </c>
      <c r="N1027" t="s">
        <v>398</v>
      </c>
      <c r="O1027" t="s">
        <v>462</v>
      </c>
      <c r="P1027" t="s">
        <v>398</v>
      </c>
    </row>
    <row r="1028" spans="9:16" x14ac:dyDescent="0.25">
      <c r="I1028" t="s">
        <v>249</v>
      </c>
      <c r="J1028" t="s">
        <v>61</v>
      </c>
      <c r="K1028" t="s">
        <v>284</v>
      </c>
      <c r="L1028" t="s">
        <v>119</v>
      </c>
      <c r="M1028" t="s">
        <v>563</v>
      </c>
      <c r="N1028" t="s">
        <v>564</v>
      </c>
      <c r="O1028" t="s">
        <v>563</v>
      </c>
      <c r="P1028" t="s">
        <v>564</v>
      </c>
    </row>
    <row r="1029" spans="9:16" x14ac:dyDescent="0.25">
      <c r="I1029" t="s">
        <v>250</v>
      </c>
      <c r="J1029" t="s">
        <v>89</v>
      </c>
      <c r="K1029" t="s">
        <v>285</v>
      </c>
      <c r="L1029" t="s">
        <v>120</v>
      </c>
    </row>
    <row r="1030" spans="9:16" x14ac:dyDescent="0.25">
      <c r="I1030" t="s">
        <v>251</v>
      </c>
      <c r="J1030" t="s">
        <v>90</v>
      </c>
      <c r="K1030" t="s">
        <v>286</v>
      </c>
      <c r="L1030" t="s">
        <v>121</v>
      </c>
    </row>
    <row r="1031" spans="9:16" x14ac:dyDescent="0.25">
      <c r="I1031" t="s">
        <v>252</v>
      </c>
      <c r="J1031" t="s">
        <v>88</v>
      </c>
      <c r="K1031" t="s">
        <v>287</v>
      </c>
      <c r="L1031" t="s">
        <v>122</v>
      </c>
    </row>
    <row r="1032" spans="9:16" x14ac:dyDescent="0.25">
      <c r="I1032" t="s">
        <v>253</v>
      </c>
      <c r="J1032" t="s">
        <v>91</v>
      </c>
      <c r="K1032" t="s">
        <v>288</v>
      </c>
      <c r="L1032" t="s">
        <v>123</v>
      </c>
    </row>
    <row r="1033" spans="9:16" x14ac:dyDescent="0.25">
      <c r="I1033" t="s">
        <v>254</v>
      </c>
      <c r="J1033" t="s">
        <v>208</v>
      </c>
      <c r="K1033" t="s">
        <v>289</v>
      </c>
      <c r="L1033" t="s">
        <v>124</v>
      </c>
    </row>
    <row r="1034" spans="9:16" x14ac:dyDescent="0.25">
      <c r="I1034" t="s">
        <v>255</v>
      </c>
      <c r="J1034" t="s">
        <v>209</v>
      </c>
      <c r="K1034" t="s">
        <v>290</v>
      </c>
      <c r="L1034" t="s">
        <v>125</v>
      </c>
    </row>
    <row r="1035" spans="9:16" x14ac:dyDescent="0.25">
      <c r="I1035" t="s">
        <v>256</v>
      </c>
      <c r="J1035" t="s">
        <v>94</v>
      </c>
      <c r="K1035" t="s">
        <v>291</v>
      </c>
      <c r="L1035" t="s">
        <v>126</v>
      </c>
    </row>
    <row r="1036" spans="9:16" x14ac:dyDescent="0.25">
      <c r="I1036" t="s">
        <v>257</v>
      </c>
      <c r="J1036" t="s">
        <v>92</v>
      </c>
      <c r="K1036" t="s">
        <v>292</v>
      </c>
      <c r="L1036" t="s">
        <v>127</v>
      </c>
    </row>
    <row r="1037" spans="9:16" x14ac:dyDescent="0.25">
      <c r="K1037" t="s">
        <v>293</v>
      </c>
      <c r="L1037" t="s">
        <v>58</v>
      </c>
    </row>
    <row r="1038" spans="9:16" x14ac:dyDescent="0.25">
      <c r="K1038" t="s">
        <v>294</v>
      </c>
      <c r="L1038" t="s">
        <v>128</v>
      </c>
    </row>
    <row r="1039" spans="9:16" x14ac:dyDescent="0.25">
      <c r="K1039" t="s">
        <v>295</v>
      </c>
      <c r="L1039" t="s">
        <v>129</v>
      </c>
    </row>
    <row r="1040" spans="9:16" x14ac:dyDescent="0.25">
      <c r="K1040" t="s">
        <v>296</v>
      </c>
      <c r="L1040" t="s">
        <v>130</v>
      </c>
    </row>
    <row r="1041" spans="11:12" x14ac:dyDescent="0.25">
      <c r="K1041" t="s">
        <v>297</v>
      </c>
      <c r="L1041" t="s">
        <v>131</v>
      </c>
    </row>
    <row r="1042" spans="11:12" x14ac:dyDescent="0.25">
      <c r="K1042" t="s">
        <v>298</v>
      </c>
      <c r="L1042" t="s">
        <v>132</v>
      </c>
    </row>
    <row r="1043" spans="11:12" x14ac:dyDescent="0.25">
      <c r="K1043" t="s">
        <v>299</v>
      </c>
      <c r="L1043" t="s">
        <v>133</v>
      </c>
    </row>
    <row r="1044" spans="11:12" x14ac:dyDescent="0.25">
      <c r="K1044" t="s">
        <v>300</v>
      </c>
      <c r="L1044" t="s">
        <v>134</v>
      </c>
    </row>
    <row r="1045" spans="11:12" x14ac:dyDescent="0.25">
      <c r="K1045" t="s">
        <v>301</v>
      </c>
      <c r="L1045" t="s">
        <v>135</v>
      </c>
    </row>
    <row r="1046" spans="11:12" x14ac:dyDescent="0.25">
      <c r="K1046" t="s">
        <v>302</v>
      </c>
      <c r="L1046" t="s">
        <v>69</v>
      </c>
    </row>
    <row r="1047" spans="11:12" x14ac:dyDescent="0.25">
      <c r="K1047" t="s">
        <v>303</v>
      </c>
      <c r="L1047" t="s">
        <v>136</v>
      </c>
    </row>
    <row r="1048" spans="11:12" x14ac:dyDescent="0.25">
      <c r="K1048" t="s">
        <v>304</v>
      </c>
      <c r="L1048" t="s">
        <v>137</v>
      </c>
    </row>
    <row r="1049" spans="11:12" x14ac:dyDescent="0.25">
      <c r="K1049" t="s">
        <v>305</v>
      </c>
      <c r="L1049" t="s">
        <v>138</v>
      </c>
    </row>
    <row r="1050" spans="11:12" x14ac:dyDescent="0.25">
      <c r="K1050" t="s">
        <v>306</v>
      </c>
      <c r="L1050" t="s">
        <v>139</v>
      </c>
    </row>
    <row r="1051" spans="11:12" x14ac:dyDescent="0.25">
      <c r="K1051" t="s">
        <v>307</v>
      </c>
      <c r="L1051" t="s">
        <v>140</v>
      </c>
    </row>
    <row r="1052" spans="11:12" x14ac:dyDescent="0.25">
      <c r="K1052" t="s">
        <v>308</v>
      </c>
      <c r="L1052" t="s">
        <v>141</v>
      </c>
    </row>
    <row r="1053" spans="11:12" x14ac:dyDescent="0.25">
      <c r="K1053" t="s">
        <v>309</v>
      </c>
      <c r="L1053" t="s">
        <v>142</v>
      </c>
    </row>
    <row r="1054" spans="11:12" x14ac:dyDescent="0.25">
      <c r="K1054" t="s">
        <v>310</v>
      </c>
      <c r="L1054" t="s">
        <v>78</v>
      </c>
    </row>
    <row r="1055" spans="11:12" x14ac:dyDescent="0.25">
      <c r="K1055" t="s">
        <v>311</v>
      </c>
      <c r="L1055" t="s">
        <v>77</v>
      </c>
    </row>
    <row r="1056" spans="11:12" x14ac:dyDescent="0.25">
      <c r="K1056" t="s">
        <v>312</v>
      </c>
      <c r="L1056" t="s">
        <v>143</v>
      </c>
    </row>
    <row r="1057" spans="11:12" x14ac:dyDescent="0.25">
      <c r="K1057" t="s">
        <v>313</v>
      </c>
      <c r="L1057" t="s">
        <v>144</v>
      </c>
    </row>
    <row r="1058" spans="11:12" x14ac:dyDescent="0.25">
      <c r="K1058" t="s">
        <v>314</v>
      </c>
      <c r="L1058" t="s">
        <v>145</v>
      </c>
    </row>
    <row r="1059" spans="11:12" x14ac:dyDescent="0.25">
      <c r="K1059" t="s">
        <v>315</v>
      </c>
      <c r="L1059" t="s">
        <v>146</v>
      </c>
    </row>
    <row r="1060" spans="11:12" x14ac:dyDescent="0.25">
      <c r="K1060" t="s">
        <v>316</v>
      </c>
      <c r="L1060" t="s">
        <v>147</v>
      </c>
    </row>
    <row r="1061" spans="11:12" x14ac:dyDescent="0.25">
      <c r="K1061" t="s">
        <v>317</v>
      </c>
      <c r="L1061" t="s">
        <v>148</v>
      </c>
    </row>
    <row r="1062" spans="11:12" x14ac:dyDescent="0.25">
      <c r="K1062" t="s">
        <v>318</v>
      </c>
      <c r="L1062" t="s">
        <v>93</v>
      </c>
    </row>
    <row r="1063" spans="11:12" x14ac:dyDescent="0.25">
      <c r="K1063" t="s">
        <v>319</v>
      </c>
      <c r="L1063" t="s">
        <v>149</v>
      </c>
    </row>
    <row r="1064" spans="11:12" x14ac:dyDescent="0.25">
      <c r="K1064" t="s">
        <v>320</v>
      </c>
      <c r="L1064" t="s">
        <v>72</v>
      </c>
    </row>
    <row r="1065" spans="11:12" x14ac:dyDescent="0.25">
      <c r="K1065" t="s">
        <v>321</v>
      </c>
      <c r="L1065" t="s">
        <v>150</v>
      </c>
    </row>
    <row r="1066" spans="11:12" x14ac:dyDescent="0.25">
      <c r="K1066" t="s">
        <v>322</v>
      </c>
      <c r="L1066" t="s">
        <v>151</v>
      </c>
    </row>
    <row r="1067" spans="11:12" x14ac:dyDescent="0.25">
      <c r="K1067" t="s">
        <v>323</v>
      </c>
      <c r="L1067" t="s">
        <v>152</v>
      </c>
    </row>
    <row r="1068" spans="11:12" x14ac:dyDescent="0.25">
      <c r="K1068" t="s">
        <v>324</v>
      </c>
      <c r="L1068" t="s">
        <v>153</v>
      </c>
    </row>
    <row r="1069" spans="11:12" x14ac:dyDescent="0.25">
      <c r="K1069" t="s">
        <v>325</v>
      </c>
      <c r="L1069" t="s">
        <v>154</v>
      </c>
    </row>
    <row r="1070" spans="11:12" x14ac:dyDescent="0.25">
      <c r="K1070" t="s">
        <v>326</v>
      </c>
      <c r="L1070" t="s">
        <v>155</v>
      </c>
    </row>
    <row r="1071" spans="11:12" x14ac:dyDescent="0.25">
      <c r="K1071" t="s">
        <v>327</v>
      </c>
      <c r="L1071" t="s">
        <v>156</v>
      </c>
    </row>
    <row r="1072" spans="11:12" x14ac:dyDescent="0.25">
      <c r="K1072" t="s">
        <v>328</v>
      </c>
      <c r="L1072" t="s">
        <v>157</v>
      </c>
    </row>
    <row r="1073" spans="11:12" x14ac:dyDescent="0.25">
      <c r="K1073" t="s">
        <v>329</v>
      </c>
      <c r="L1073" t="s">
        <v>158</v>
      </c>
    </row>
    <row r="1074" spans="11:12" x14ac:dyDescent="0.25">
      <c r="K1074" t="s">
        <v>330</v>
      </c>
      <c r="L1074" t="s">
        <v>159</v>
      </c>
    </row>
    <row r="1075" spans="11:12" x14ac:dyDescent="0.25">
      <c r="K1075" t="s">
        <v>331</v>
      </c>
      <c r="L1075" t="s">
        <v>160</v>
      </c>
    </row>
    <row r="1076" spans="11:12" x14ac:dyDescent="0.25">
      <c r="K1076" t="s">
        <v>332</v>
      </c>
      <c r="L1076" t="s">
        <v>161</v>
      </c>
    </row>
    <row r="1077" spans="11:12" x14ac:dyDescent="0.25">
      <c r="K1077" t="s">
        <v>333</v>
      </c>
      <c r="L1077" t="s">
        <v>162</v>
      </c>
    </row>
    <row r="1078" spans="11:12" x14ac:dyDescent="0.25">
      <c r="K1078" t="s">
        <v>334</v>
      </c>
      <c r="L1078" t="s">
        <v>163</v>
      </c>
    </row>
    <row r="1079" spans="11:12" x14ac:dyDescent="0.25">
      <c r="K1079" t="s">
        <v>335</v>
      </c>
      <c r="L1079" t="s">
        <v>164</v>
      </c>
    </row>
    <row r="1080" spans="11:12" x14ac:dyDescent="0.25">
      <c r="K1080" t="s">
        <v>336</v>
      </c>
      <c r="L1080" t="s">
        <v>165</v>
      </c>
    </row>
    <row r="1081" spans="11:12" x14ac:dyDescent="0.25">
      <c r="K1081" t="s">
        <v>337</v>
      </c>
      <c r="L1081" t="s">
        <v>166</v>
      </c>
    </row>
    <row r="1082" spans="11:12" x14ac:dyDescent="0.25">
      <c r="K1082" t="s">
        <v>338</v>
      </c>
      <c r="L1082" t="s">
        <v>167</v>
      </c>
    </row>
    <row r="1083" spans="11:12" x14ac:dyDescent="0.25">
      <c r="K1083" t="s">
        <v>339</v>
      </c>
      <c r="L1083" t="s">
        <v>168</v>
      </c>
    </row>
    <row r="1084" spans="11:12" x14ac:dyDescent="0.25">
      <c r="K1084" t="s">
        <v>340</v>
      </c>
      <c r="L1084" t="s">
        <v>169</v>
      </c>
    </row>
    <row r="1085" spans="11:12" x14ac:dyDescent="0.25">
      <c r="K1085" t="s">
        <v>341</v>
      </c>
      <c r="L1085" t="s">
        <v>170</v>
      </c>
    </row>
    <row r="1086" spans="11:12" x14ac:dyDescent="0.25">
      <c r="K1086" t="s">
        <v>342</v>
      </c>
      <c r="L1086" t="s">
        <v>171</v>
      </c>
    </row>
    <row r="1087" spans="11:12" x14ac:dyDescent="0.25">
      <c r="K1087" t="s">
        <v>343</v>
      </c>
      <c r="L1087" t="s">
        <v>172</v>
      </c>
    </row>
    <row r="1088" spans="11:12" x14ac:dyDescent="0.25">
      <c r="K1088" t="s">
        <v>344</v>
      </c>
      <c r="L1088" t="s">
        <v>173</v>
      </c>
    </row>
    <row r="1089" spans="11:12" x14ac:dyDescent="0.25">
      <c r="K1089" t="s">
        <v>345</v>
      </c>
      <c r="L1089" t="s">
        <v>174</v>
      </c>
    </row>
    <row r="1090" spans="11:12" x14ac:dyDescent="0.25">
      <c r="K1090" t="s">
        <v>346</v>
      </c>
      <c r="L1090" t="s">
        <v>175</v>
      </c>
    </row>
    <row r="1091" spans="11:12" x14ac:dyDescent="0.25">
      <c r="K1091" t="s">
        <v>347</v>
      </c>
      <c r="L1091" t="s">
        <v>60</v>
      </c>
    </row>
    <row r="1092" spans="11:12" x14ac:dyDescent="0.25">
      <c r="K1092" t="s">
        <v>348</v>
      </c>
      <c r="L1092" t="s">
        <v>176</v>
      </c>
    </row>
    <row r="1093" spans="11:12" x14ac:dyDescent="0.25">
      <c r="K1093" t="s">
        <v>349</v>
      </c>
      <c r="L1093" t="s">
        <v>177</v>
      </c>
    </row>
    <row r="1094" spans="11:12" x14ac:dyDescent="0.25">
      <c r="K1094" t="s">
        <v>350</v>
      </c>
      <c r="L1094" t="s">
        <v>178</v>
      </c>
    </row>
    <row r="1095" spans="11:12" x14ac:dyDescent="0.25">
      <c r="K1095" t="s">
        <v>351</v>
      </c>
      <c r="L1095" t="s">
        <v>179</v>
      </c>
    </row>
    <row r="1096" spans="11:12" x14ac:dyDescent="0.25">
      <c r="K1096" t="s">
        <v>352</v>
      </c>
      <c r="L1096" t="s">
        <v>180</v>
      </c>
    </row>
    <row r="1097" spans="11:12" x14ac:dyDescent="0.25">
      <c r="K1097" t="s">
        <v>353</v>
      </c>
      <c r="L1097" t="s">
        <v>181</v>
      </c>
    </row>
    <row r="1098" spans="11:12" x14ac:dyDescent="0.25">
      <c r="K1098" t="s">
        <v>354</v>
      </c>
      <c r="L1098" t="s">
        <v>182</v>
      </c>
    </row>
    <row r="1099" spans="11:12" x14ac:dyDescent="0.25">
      <c r="K1099" t="s">
        <v>355</v>
      </c>
      <c r="L1099" t="s">
        <v>183</v>
      </c>
    </row>
    <row r="1100" spans="11:12" x14ac:dyDescent="0.25">
      <c r="K1100" t="s">
        <v>356</v>
      </c>
      <c r="L1100" t="s">
        <v>184</v>
      </c>
    </row>
    <row r="1101" spans="11:12" x14ac:dyDescent="0.25">
      <c r="K1101" t="s">
        <v>357</v>
      </c>
      <c r="L1101" t="s">
        <v>185</v>
      </c>
    </row>
    <row r="1102" spans="11:12" x14ac:dyDescent="0.25">
      <c r="K1102" t="s">
        <v>358</v>
      </c>
      <c r="L1102" t="s">
        <v>186</v>
      </c>
    </row>
    <row r="1103" spans="11:12" x14ac:dyDescent="0.25">
      <c r="K1103" t="s">
        <v>359</v>
      </c>
      <c r="L1103" t="s">
        <v>187</v>
      </c>
    </row>
    <row r="1104" spans="11:12" x14ac:dyDescent="0.25">
      <c r="K1104" t="s">
        <v>360</v>
      </c>
      <c r="L1104" t="s">
        <v>188</v>
      </c>
    </row>
    <row r="1105" spans="11:12" x14ac:dyDescent="0.25">
      <c r="K1105" t="s">
        <v>361</v>
      </c>
      <c r="L1105" t="s">
        <v>189</v>
      </c>
    </row>
    <row r="1106" spans="11:12" x14ac:dyDescent="0.25">
      <c r="K1106" t="s">
        <v>362</v>
      </c>
      <c r="L1106" t="s">
        <v>190</v>
      </c>
    </row>
    <row r="1107" spans="11:12" x14ac:dyDescent="0.25">
      <c r="K1107" t="s">
        <v>363</v>
      </c>
      <c r="L1107" t="s">
        <v>191</v>
      </c>
    </row>
    <row r="1108" spans="11:12" x14ac:dyDescent="0.25">
      <c r="K1108" t="s">
        <v>364</v>
      </c>
      <c r="L1108" t="s">
        <v>192</v>
      </c>
    </row>
    <row r="1109" spans="11:12" x14ac:dyDescent="0.25">
      <c r="K1109" t="s">
        <v>365</v>
      </c>
      <c r="L1109" t="s">
        <v>193</v>
      </c>
    </row>
    <row r="1110" spans="11:12" x14ac:dyDescent="0.25">
      <c r="K1110" t="s">
        <v>366</v>
      </c>
      <c r="L1110" t="s">
        <v>194</v>
      </c>
    </row>
    <row r="1111" spans="11:12" x14ac:dyDescent="0.25">
      <c r="K1111" t="s">
        <v>367</v>
      </c>
      <c r="L1111" t="s">
        <v>26</v>
      </c>
    </row>
    <row r="1112" spans="11:12" x14ac:dyDescent="0.25">
      <c r="K1112" t="s">
        <v>368</v>
      </c>
      <c r="L1112" t="s">
        <v>195</v>
      </c>
    </row>
    <row r="1113" spans="11:12" x14ac:dyDescent="0.25">
      <c r="K1113" t="s">
        <v>369</v>
      </c>
      <c r="L1113" t="s">
        <v>196</v>
      </c>
    </row>
    <row r="1114" spans="11:12" x14ac:dyDescent="0.25">
      <c r="K1114" t="s">
        <v>370</v>
      </c>
      <c r="L1114" t="s">
        <v>197</v>
      </c>
    </row>
    <row r="1115" spans="11:12" x14ac:dyDescent="0.25">
      <c r="K1115" t="s">
        <v>371</v>
      </c>
      <c r="L1115" t="s">
        <v>198</v>
      </c>
    </row>
    <row r="1116" spans="11:12" x14ac:dyDescent="0.25">
      <c r="K1116" t="s">
        <v>372</v>
      </c>
      <c r="L1116" t="s">
        <v>199</v>
      </c>
    </row>
    <row r="1117" spans="11:12" x14ac:dyDescent="0.25">
      <c r="K1117" t="s">
        <v>373</v>
      </c>
      <c r="L1117" t="s">
        <v>200</v>
      </c>
    </row>
    <row r="1118" spans="11:12" x14ac:dyDescent="0.25">
      <c r="K1118" t="s">
        <v>374</v>
      </c>
      <c r="L1118" t="s">
        <v>201</v>
      </c>
    </row>
    <row r="1119" spans="11:12" x14ac:dyDescent="0.25">
      <c r="K1119" t="s">
        <v>375</v>
      </c>
      <c r="L1119" t="s">
        <v>202</v>
      </c>
    </row>
    <row r="1120" spans="11:12" x14ac:dyDescent="0.25">
      <c r="K1120" t="s">
        <v>376</v>
      </c>
      <c r="L1120" t="s">
        <v>203</v>
      </c>
    </row>
    <row r="1121" spans="11:12" x14ac:dyDescent="0.25">
      <c r="K1121" t="s">
        <v>377</v>
      </c>
      <c r="L1121" t="s">
        <v>204</v>
      </c>
    </row>
    <row r="1122" spans="11:12" x14ac:dyDescent="0.25">
      <c r="K1122" t="s">
        <v>378</v>
      </c>
      <c r="L1122" t="s">
        <v>205</v>
      </c>
    </row>
    <row r="1123" spans="11:12" x14ac:dyDescent="0.25">
      <c r="K1123" t="s">
        <v>379</v>
      </c>
      <c r="L1123" t="s">
        <v>206</v>
      </c>
    </row>
    <row r="1124" spans="11:12" x14ac:dyDescent="0.25">
      <c r="K1124" t="s">
        <v>380</v>
      </c>
      <c r="L1124" t="s">
        <v>207</v>
      </c>
    </row>
    <row r="1125" spans="11:12" x14ac:dyDescent="0.25">
      <c r="K1125" t="s">
        <v>381</v>
      </c>
      <c r="L1125" t="s">
        <v>95</v>
      </c>
    </row>
  </sheetData>
  <dataValidations count="18">
    <dataValidation type="list" allowBlank="1" showInputMessage="1" showErrorMessage="1" sqref="J65:J999" xr:uid="{00000000-0002-0000-0100-000000000000}">
      <formula1>$R$1002:$R$1006</formula1>
    </dataValidation>
    <dataValidation type="list" allowBlank="1" showInputMessage="1" showErrorMessage="1" sqref="N53:N1000" xr:uid="{00000000-0002-0000-0100-000001000000}">
      <formula1>$P$1002:$P$1028</formula1>
    </dataValidation>
    <dataValidation type="list" allowBlank="1" showInputMessage="1" showErrorMessage="1" sqref="M37:M998" xr:uid="{00000000-0002-0000-0100-000002000000}">
      <formula1>$O$1002:$O$1028</formula1>
    </dataValidation>
    <dataValidation type="list" allowBlank="1" showInputMessage="1" showErrorMessage="1" sqref="L65:L998 L38:L63" xr:uid="{00000000-0002-0000-0100-000003000000}">
      <formula1>$N$1002:$N$1028</formula1>
    </dataValidation>
    <dataValidation type="list" allowBlank="1" showInputMessage="1" showErrorMessage="1" sqref="K65:K998 K37:K63" xr:uid="{00000000-0002-0000-0100-000004000000}">
      <formula1>$M$1002:$M$1028</formula1>
    </dataValidation>
    <dataValidation type="list" allowBlank="1" showInputMessage="1" showErrorMessage="1" sqref="J29:J44 J26 J15:J19 J8:J12 J2 J4" xr:uid="{00000000-0002-0000-0100-000005000000}">
      <formula1>$R$1002:$R$1004</formula1>
    </dataValidation>
    <dataValidation type="list" allowBlank="1" showInputMessage="1" showErrorMessage="1" sqref="K2:K36" xr:uid="{00000000-0002-0000-0100-000006000000}">
      <formula1>$M$1002:$M$1027</formula1>
    </dataValidation>
    <dataValidation type="list" allowBlank="1" showInputMessage="1" showErrorMessage="1" sqref="L2:L37" xr:uid="{00000000-0002-0000-0100-000007000000}">
      <formula1>$N$1002:$N$1027</formula1>
    </dataValidation>
    <dataValidation type="list" allowBlank="1" showInputMessage="1" showErrorMessage="1" sqref="M2:M36" xr:uid="{00000000-0002-0000-0100-000008000000}">
      <formula1>$O$1002:$O$1027</formula1>
    </dataValidation>
    <dataValidation type="list" allowBlank="1" showInputMessage="1" showErrorMessage="1" sqref="N2:N37" xr:uid="{00000000-0002-0000-0100-000009000000}">
      <formula1>$P$1002:$P$1027</formula1>
    </dataValidation>
    <dataValidation type="list" allowBlank="1" showInputMessage="1" showErrorMessage="1" sqref="J64" xr:uid="{00000000-0002-0000-0100-00000A000000}">
      <formula1>$R$986:$R$990</formula1>
    </dataValidation>
    <dataValidation type="list" allowBlank="1" showInputMessage="1" showErrorMessage="1" sqref="L64" xr:uid="{00000000-0002-0000-0100-00000B000000}">
      <formula1>$N$986:$N$1012</formula1>
    </dataValidation>
    <dataValidation type="list" allowBlank="1" showInputMessage="1" showErrorMessage="1" sqref="K64" xr:uid="{00000000-0002-0000-0100-00000C000000}">
      <formula1>$M$986:$M$1012</formula1>
    </dataValidation>
    <dataValidation type="list" allowBlank="1" showInputMessage="1" showErrorMessage="1" sqref="J61:J63 J50:J51 J45:J47" xr:uid="{00000000-0002-0000-0100-00000D000000}">
      <formula1>$R$1002:$R$1005</formula1>
    </dataValidation>
    <dataValidation type="list" allowBlank="1" showInputMessage="1" showErrorMessage="1" sqref="N38:N52" xr:uid="{00000000-0002-0000-0100-00000E000000}">
      <formula1>$P$1003:$P$1028</formula1>
    </dataValidation>
    <dataValidation type="list" allowBlank="1" showInputMessage="1" showErrorMessage="1" sqref="J27:J28 J22 J24:J25" xr:uid="{00000000-0002-0000-0100-00000F000000}">
      <formula1>$R$1002:$R$1007</formula1>
    </dataValidation>
    <dataValidation type="list" allowBlank="1" showInputMessage="1" showErrorMessage="1" sqref="J23 J20:J21 J13:J14 J5:J7 J3" xr:uid="{00000000-0002-0000-0100-000010000000}">
      <formula1>$R$1002:$R$1008</formula1>
    </dataValidation>
    <dataValidation type="list" allowBlank="1" showInputMessage="1" showErrorMessage="1" sqref="J52:J60 J48:J49" xr:uid="{00000000-0002-0000-0100-000011000000}">
      <formula1>$R$1002:$R$1009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127"/>
  <sheetViews>
    <sheetView workbookViewId="0">
      <pane xSplit="8295" ySplit="600" topLeftCell="S1" activePane="bottomRight"/>
      <selection activeCell="T2" sqref="T2"/>
      <selection pane="topRight" activeCell="T2" sqref="T2"/>
      <selection pane="bottomLeft" activeCell="T2" sqref="T2"/>
      <selection pane="bottomRight" activeCell="T2" sqref="T2"/>
    </sheetView>
  </sheetViews>
  <sheetFormatPr defaultRowHeight="15" x14ac:dyDescent="0.25"/>
  <cols>
    <col min="1" max="1" width="6.7109375" customWidth="1"/>
    <col min="2" max="2" width="8.5703125" customWidth="1"/>
    <col min="3" max="3" width="7.85546875" customWidth="1"/>
    <col min="4" max="4" width="16.85546875" customWidth="1"/>
    <col min="5" max="5" width="7.7109375" customWidth="1"/>
    <col min="6" max="6" width="12.7109375" customWidth="1"/>
    <col min="7" max="7" width="14.85546875" customWidth="1"/>
    <col min="8" max="8" width="7.42578125" customWidth="1"/>
    <col min="9" max="10" width="9.85546875" customWidth="1"/>
    <col min="11" max="11" width="25.28515625" customWidth="1"/>
    <col min="12" max="12" width="9.140625" customWidth="1"/>
    <col min="13" max="13" width="22.85546875" customWidth="1"/>
    <col min="14" max="14" width="9.85546875" customWidth="1"/>
    <col min="15" max="16" width="6.42578125" customWidth="1"/>
    <col min="17" max="18" width="34.5703125" customWidth="1"/>
    <col min="19" max="19" width="23" customWidth="1"/>
    <col min="20" max="20" width="19.5703125" customWidth="1"/>
  </cols>
  <sheetData>
    <row r="1" spans="1:20" x14ac:dyDescent="0.25">
      <c r="A1" s="1" t="s">
        <v>414</v>
      </c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432</v>
      </c>
      <c r="K1" s="1" t="s">
        <v>426</v>
      </c>
      <c r="L1" s="1" t="s">
        <v>425</v>
      </c>
      <c r="M1" s="1" t="s">
        <v>427</v>
      </c>
      <c r="N1" s="1" t="s">
        <v>428</v>
      </c>
      <c r="O1" s="1" t="s">
        <v>429</v>
      </c>
      <c r="P1" s="1" t="s">
        <v>430</v>
      </c>
      <c r="Q1" s="1" t="s">
        <v>472</v>
      </c>
      <c r="R1" s="1" t="s">
        <v>431</v>
      </c>
      <c r="S1" s="1" t="s">
        <v>423</v>
      </c>
      <c r="T1" s="1" t="s">
        <v>424</v>
      </c>
    </row>
    <row r="2" spans="1:20" x14ac:dyDescent="0.25">
      <c r="A2" t="s">
        <v>685</v>
      </c>
      <c r="B2" t="s">
        <v>463</v>
      </c>
      <c r="C2" t="s">
        <v>464</v>
      </c>
      <c r="J2" t="s">
        <v>434</v>
      </c>
      <c r="K2" t="s">
        <v>451</v>
      </c>
      <c r="L2" t="s">
        <v>401</v>
      </c>
      <c r="M2" t="s">
        <v>437</v>
      </c>
      <c r="N2" t="s">
        <v>409</v>
      </c>
      <c r="Q2" t="s">
        <v>467</v>
      </c>
      <c r="R2" t="s">
        <v>1019</v>
      </c>
      <c r="S2" t="s">
        <v>655</v>
      </c>
      <c r="T2" t="s">
        <v>821</v>
      </c>
    </row>
    <row r="3" spans="1:20" x14ac:dyDescent="0.25">
      <c r="A3" t="s">
        <v>685</v>
      </c>
      <c r="B3" t="s">
        <v>463</v>
      </c>
      <c r="C3" t="s">
        <v>464</v>
      </c>
      <c r="D3" t="s">
        <v>465</v>
      </c>
      <c r="E3" t="s">
        <v>466</v>
      </c>
      <c r="J3" t="s">
        <v>753</v>
      </c>
      <c r="K3" t="s">
        <v>451</v>
      </c>
      <c r="L3" t="s">
        <v>401</v>
      </c>
      <c r="Q3" t="s">
        <v>468</v>
      </c>
      <c r="R3" t="s">
        <v>1018</v>
      </c>
      <c r="S3" t="s">
        <v>663</v>
      </c>
      <c r="T3" t="s">
        <v>821</v>
      </c>
    </row>
    <row r="4" spans="1:20" x14ac:dyDescent="0.25">
      <c r="A4" t="s">
        <v>685</v>
      </c>
      <c r="B4" t="s">
        <v>463</v>
      </c>
      <c r="C4" t="s">
        <v>464</v>
      </c>
      <c r="D4" t="s">
        <v>465</v>
      </c>
      <c r="E4" t="s">
        <v>466</v>
      </c>
      <c r="F4" t="s">
        <v>469</v>
      </c>
      <c r="G4" t="s">
        <v>491</v>
      </c>
      <c r="J4" t="s">
        <v>434</v>
      </c>
      <c r="K4" t="s">
        <v>449</v>
      </c>
      <c r="L4" t="s">
        <v>402</v>
      </c>
      <c r="Q4" t="s">
        <v>470</v>
      </c>
      <c r="R4" t="s">
        <v>1008</v>
      </c>
      <c r="S4" t="s">
        <v>664</v>
      </c>
      <c r="T4" t="s">
        <v>821</v>
      </c>
    </row>
    <row r="5" spans="1:20" x14ac:dyDescent="0.25">
      <c r="A5" t="s">
        <v>685</v>
      </c>
      <c r="B5" t="s">
        <v>463</v>
      </c>
      <c r="C5" t="s">
        <v>464</v>
      </c>
      <c r="D5" t="s">
        <v>465</v>
      </c>
      <c r="E5" t="s">
        <v>466</v>
      </c>
      <c r="F5" t="s">
        <v>471</v>
      </c>
      <c r="G5" t="s">
        <v>492</v>
      </c>
      <c r="J5" t="s">
        <v>753</v>
      </c>
      <c r="K5" t="s">
        <v>449</v>
      </c>
      <c r="L5" t="s">
        <v>402</v>
      </c>
      <c r="M5" t="s">
        <v>446</v>
      </c>
      <c r="N5" t="s">
        <v>399</v>
      </c>
      <c r="Q5" t="s">
        <v>686</v>
      </c>
      <c r="R5" t="s">
        <v>1017</v>
      </c>
      <c r="S5" t="s">
        <v>665</v>
      </c>
      <c r="T5" t="s">
        <v>821</v>
      </c>
    </row>
    <row r="6" spans="1:20" x14ac:dyDescent="0.25">
      <c r="A6" t="s">
        <v>685</v>
      </c>
      <c r="B6" t="s">
        <v>463</v>
      </c>
      <c r="C6" t="s">
        <v>464</v>
      </c>
      <c r="D6" t="s">
        <v>465</v>
      </c>
      <c r="E6" t="s">
        <v>466</v>
      </c>
      <c r="F6" t="s">
        <v>473</v>
      </c>
      <c r="G6" t="s">
        <v>493</v>
      </c>
      <c r="J6" t="s">
        <v>753</v>
      </c>
      <c r="K6" t="s">
        <v>451</v>
      </c>
      <c r="L6" t="s">
        <v>401</v>
      </c>
      <c r="M6" t="s">
        <v>437</v>
      </c>
      <c r="N6" t="s">
        <v>409</v>
      </c>
      <c r="Q6" t="s">
        <v>504</v>
      </c>
      <c r="R6" t="s">
        <v>1016</v>
      </c>
      <c r="S6" t="s">
        <v>665</v>
      </c>
      <c r="T6" t="s">
        <v>821</v>
      </c>
    </row>
    <row r="7" spans="1:20" x14ac:dyDescent="0.25">
      <c r="A7" t="s">
        <v>685</v>
      </c>
      <c r="B7" t="s">
        <v>463</v>
      </c>
      <c r="C7" t="s">
        <v>464</v>
      </c>
      <c r="D7" t="s">
        <v>478</v>
      </c>
      <c r="E7" t="s">
        <v>489</v>
      </c>
      <c r="J7" t="s">
        <v>702</v>
      </c>
      <c r="K7" t="s">
        <v>437</v>
      </c>
      <c r="L7" t="s">
        <v>409</v>
      </c>
      <c r="M7" t="s">
        <v>563</v>
      </c>
      <c r="N7" t="s">
        <v>564</v>
      </c>
      <c r="Q7" t="s">
        <v>504</v>
      </c>
      <c r="R7" t="s">
        <v>1015</v>
      </c>
      <c r="S7" t="s">
        <v>659</v>
      </c>
      <c r="T7" t="s">
        <v>821</v>
      </c>
    </row>
    <row r="8" spans="1:20" x14ac:dyDescent="0.25">
      <c r="A8" t="s">
        <v>685</v>
      </c>
      <c r="B8" t="s">
        <v>463</v>
      </c>
      <c r="C8" t="s">
        <v>464</v>
      </c>
      <c r="D8" t="s">
        <v>474</v>
      </c>
      <c r="E8" t="s">
        <v>490</v>
      </c>
      <c r="J8" t="s">
        <v>434</v>
      </c>
      <c r="K8" t="s">
        <v>451</v>
      </c>
      <c r="L8" t="s">
        <v>401</v>
      </c>
      <c r="M8" t="s">
        <v>437</v>
      </c>
      <c r="N8" t="s">
        <v>407</v>
      </c>
      <c r="Q8" t="s">
        <v>687</v>
      </c>
      <c r="R8" t="s">
        <v>1014</v>
      </c>
      <c r="S8" t="s">
        <v>662</v>
      </c>
      <c r="T8" t="s">
        <v>821</v>
      </c>
    </row>
    <row r="9" spans="1:20" x14ac:dyDescent="0.25">
      <c r="A9" t="s">
        <v>685</v>
      </c>
      <c r="B9" t="s">
        <v>463</v>
      </c>
      <c r="C9" t="s">
        <v>464</v>
      </c>
      <c r="D9" t="s">
        <v>474</v>
      </c>
      <c r="E9" t="s">
        <v>490</v>
      </c>
      <c r="F9" t="s">
        <v>475</v>
      </c>
      <c r="G9" t="s">
        <v>494</v>
      </c>
      <c r="J9" t="s">
        <v>434</v>
      </c>
      <c r="K9" t="s">
        <v>451</v>
      </c>
      <c r="L9" t="s">
        <v>401</v>
      </c>
      <c r="M9" t="s">
        <v>563</v>
      </c>
      <c r="N9" t="s">
        <v>564</v>
      </c>
      <c r="R9" t="s">
        <v>1013</v>
      </c>
      <c r="S9" t="s">
        <v>658</v>
      </c>
      <c r="T9" t="s">
        <v>821</v>
      </c>
    </row>
    <row r="10" spans="1:20" x14ac:dyDescent="0.25">
      <c r="A10" t="s">
        <v>685</v>
      </c>
      <c r="B10" t="s">
        <v>463</v>
      </c>
      <c r="C10" t="s">
        <v>464</v>
      </c>
      <c r="D10" t="s">
        <v>474</v>
      </c>
      <c r="E10" t="s">
        <v>490</v>
      </c>
      <c r="F10" t="s">
        <v>476</v>
      </c>
      <c r="G10" t="s">
        <v>495</v>
      </c>
      <c r="J10" t="s">
        <v>434</v>
      </c>
      <c r="K10" t="s">
        <v>451</v>
      </c>
      <c r="L10" t="s">
        <v>401</v>
      </c>
      <c r="Q10" t="s">
        <v>481</v>
      </c>
      <c r="R10" t="s">
        <v>1012</v>
      </c>
      <c r="S10" t="s">
        <v>658</v>
      </c>
      <c r="T10" t="s">
        <v>821</v>
      </c>
    </row>
    <row r="11" spans="1:20" x14ac:dyDescent="0.25">
      <c r="A11" t="s">
        <v>685</v>
      </c>
      <c r="B11" t="s">
        <v>463</v>
      </c>
      <c r="C11" t="s">
        <v>464</v>
      </c>
      <c r="D11" t="s">
        <v>474</v>
      </c>
      <c r="E11" t="s">
        <v>490</v>
      </c>
      <c r="F11" t="s">
        <v>477</v>
      </c>
      <c r="G11" t="s">
        <v>496</v>
      </c>
      <c r="J11" t="s">
        <v>434</v>
      </c>
      <c r="K11" t="s">
        <v>443</v>
      </c>
      <c r="L11" t="s">
        <v>405</v>
      </c>
      <c r="M11" t="s">
        <v>437</v>
      </c>
      <c r="N11" t="s">
        <v>409</v>
      </c>
      <c r="R11" t="s">
        <v>1011</v>
      </c>
      <c r="S11" t="s">
        <v>661</v>
      </c>
      <c r="T11" t="s">
        <v>821</v>
      </c>
    </row>
    <row r="12" spans="1:20" x14ac:dyDescent="0.25">
      <c r="A12" t="s">
        <v>685</v>
      </c>
      <c r="B12" t="s">
        <v>463</v>
      </c>
      <c r="C12" t="s">
        <v>464</v>
      </c>
      <c r="D12" t="s">
        <v>474</v>
      </c>
      <c r="E12" t="s">
        <v>490</v>
      </c>
      <c r="F12" t="s">
        <v>479</v>
      </c>
      <c r="G12" t="s">
        <v>497</v>
      </c>
      <c r="J12" t="s">
        <v>702</v>
      </c>
      <c r="K12" t="s">
        <v>451</v>
      </c>
      <c r="L12" t="s">
        <v>401</v>
      </c>
      <c r="M12" t="s">
        <v>563</v>
      </c>
      <c r="N12" t="s">
        <v>564</v>
      </c>
      <c r="Q12" t="s">
        <v>470</v>
      </c>
      <c r="R12" t="s">
        <v>1008</v>
      </c>
      <c r="S12" t="s">
        <v>658</v>
      </c>
      <c r="T12" t="s">
        <v>821</v>
      </c>
    </row>
    <row r="13" spans="1:20" x14ac:dyDescent="0.25">
      <c r="A13" t="s">
        <v>685</v>
      </c>
      <c r="B13" t="s">
        <v>463</v>
      </c>
      <c r="C13" t="s">
        <v>464</v>
      </c>
      <c r="D13" t="s">
        <v>474</v>
      </c>
      <c r="E13" t="s">
        <v>490</v>
      </c>
      <c r="F13" t="s">
        <v>688</v>
      </c>
      <c r="G13" t="s">
        <v>689</v>
      </c>
      <c r="J13" t="s">
        <v>434</v>
      </c>
      <c r="K13" t="s">
        <v>437</v>
      </c>
      <c r="L13" t="s">
        <v>409</v>
      </c>
      <c r="Q13" t="s">
        <v>690</v>
      </c>
      <c r="R13" t="s">
        <v>1010</v>
      </c>
      <c r="S13" t="s">
        <v>656</v>
      </c>
      <c r="T13" t="s">
        <v>821</v>
      </c>
    </row>
    <row r="14" spans="1:20" x14ac:dyDescent="0.25">
      <c r="A14" t="s">
        <v>685</v>
      </c>
      <c r="B14" t="s">
        <v>463</v>
      </c>
      <c r="C14" t="s">
        <v>464</v>
      </c>
      <c r="D14" t="s">
        <v>474</v>
      </c>
      <c r="E14" t="s">
        <v>490</v>
      </c>
      <c r="F14" t="s">
        <v>691</v>
      </c>
      <c r="G14" t="s">
        <v>692</v>
      </c>
      <c r="J14" t="s">
        <v>702</v>
      </c>
      <c r="K14" t="s">
        <v>446</v>
      </c>
      <c r="L14" t="s">
        <v>399</v>
      </c>
      <c r="M14" t="s">
        <v>443</v>
      </c>
      <c r="N14" t="s">
        <v>405</v>
      </c>
      <c r="Q14" t="s">
        <v>693</v>
      </c>
      <c r="R14" t="s">
        <v>1009</v>
      </c>
      <c r="S14" t="s">
        <v>694</v>
      </c>
      <c r="T14" t="s">
        <v>821</v>
      </c>
    </row>
    <row r="15" spans="1:20" x14ac:dyDescent="0.25">
      <c r="A15" t="s">
        <v>685</v>
      </c>
      <c r="B15" t="s">
        <v>463</v>
      </c>
      <c r="C15" t="s">
        <v>464</v>
      </c>
      <c r="D15" t="s">
        <v>474</v>
      </c>
      <c r="E15" t="s">
        <v>490</v>
      </c>
      <c r="F15" t="s">
        <v>480</v>
      </c>
      <c r="G15" t="s">
        <v>498</v>
      </c>
      <c r="J15" t="s">
        <v>753</v>
      </c>
      <c r="K15" t="s">
        <v>451</v>
      </c>
      <c r="L15" t="s">
        <v>401</v>
      </c>
      <c r="M15" t="s">
        <v>449</v>
      </c>
      <c r="N15" t="s">
        <v>402</v>
      </c>
      <c r="Q15" t="s">
        <v>470</v>
      </c>
      <c r="R15" t="s">
        <v>1008</v>
      </c>
      <c r="S15" t="s">
        <v>657</v>
      </c>
      <c r="T15" t="s">
        <v>821</v>
      </c>
    </row>
    <row r="16" spans="1:20" x14ac:dyDescent="0.25">
      <c r="A16" t="s">
        <v>685</v>
      </c>
      <c r="B16" t="s">
        <v>463</v>
      </c>
      <c r="C16" t="s">
        <v>464</v>
      </c>
      <c r="D16" t="s">
        <v>474</v>
      </c>
      <c r="E16" t="s">
        <v>490</v>
      </c>
      <c r="F16" t="s">
        <v>482</v>
      </c>
      <c r="G16" t="s">
        <v>499</v>
      </c>
      <c r="J16" t="s">
        <v>434</v>
      </c>
      <c r="K16" t="s">
        <v>451</v>
      </c>
      <c r="L16" t="s">
        <v>401</v>
      </c>
      <c r="M16" t="s">
        <v>443</v>
      </c>
      <c r="N16" t="s">
        <v>405</v>
      </c>
      <c r="Q16" t="s">
        <v>695</v>
      </c>
      <c r="R16" t="s">
        <v>1007</v>
      </c>
      <c r="S16" t="s">
        <v>656</v>
      </c>
      <c r="T16" t="s">
        <v>821</v>
      </c>
    </row>
    <row r="17" spans="1:20" x14ac:dyDescent="0.25">
      <c r="A17" t="s">
        <v>685</v>
      </c>
      <c r="B17" t="s">
        <v>486</v>
      </c>
      <c r="C17" t="s">
        <v>488</v>
      </c>
      <c r="J17" t="s">
        <v>702</v>
      </c>
      <c r="K17" t="s">
        <v>449</v>
      </c>
      <c r="L17" t="s">
        <v>402</v>
      </c>
      <c r="M17" t="s">
        <v>451</v>
      </c>
      <c r="N17" t="s">
        <v>401</v>
      </c>
      <c r="Q17" t="s">
        <v>487</v>
      </c>
      <c r="R17" t="s">
        <v>1006</v>
      </c>
      <c r="S17" t="s">
        <v>654</v>
      </c>
      <c r="T17" t="s">
        <v>821</v>
      </c>
    </row>
    <row r="18" spans="1:20" x14ac:dyDescent="0.25">
      <c r="A18" t="s">
        <v>685</v>
      </c>
      <c r="B18" t="s">
        <v>486</v>
      </c>
      <c r="C18" t="s">
        <v>488</v>
      </c>
      <c r="D18" t="s">
        <v>483</v>
      </c>
      <c r="E18" t="s">
        <v>511</v>
      </c>
      <c r="J18" t="s">
        <v>434</v>
      </c>
      <c r="K18" t="s">
        <v>443</v>
      </c>
      <c r="L18" t="s">
        <v>405</v>
      </c>
      <c r="Q18" t="s">
        <v>696</v>
      </c>
      <c r="R18" t="s">
        <v>1005</v>
      </c>
      <c r="S18" t="s">
        <v>653</v>
      </c>
      <c r="T18" t="s">
        <v>821</v>
      </c>
    </row>
    <row r="19" spans="1:20" x14ac:dyDescent="0.25">
      <c r="A19" t="s">
        <v>685</v>
      </c>
      <c r="B19" t="s">
        <v>486</v>
      </c>
      <c r="C19" t="s">
        <v>488</v>
      </c>
      <c r="D19" t="s">
        <v>484</v>
      </c>
      <c r="E19" t="s">
        <v>512</v>
      </c>
      <c r="J19" t="s">
        <v>434</v>
      </c>
      <c r="K19" t="s">
        <v>450</v>
      </c>
      <c r="L19" t="s">
        <v>400</v>
      </c>
      <c r="R19" t="s">
        <v>1004</v>
      </c>
      <c r="S19" t="s">
        <v>653</v>
      </c>
      <c r="T19" t="s">
        <v>821</v>
      </c>
    </row>
    <row r="20" spans="1:20" x14ac:dyDescent="0.25">
      <c r="A20" t="s">
        <v>685</v>
      </c>
      <c r="B20" t="s">
        <v>486</v>
      </c>
      <c r="C20" t="s">
        <v>488</v>
      </c>
      <c r="D20" t="s">
        <v>485</v>
      </c>
      <c r="E20" t="s">
        <v>513</v>
      </c>
      <c r="J20" t="s">
        <v>702</v>
      </c>
      <c r="K20" t="s">
        <v>449</v>
      </c>
      <c r="L20" t="s">
        <v>402</v>
      </c>
      <c r="M20" t="s">
        <v>451</v>
      </c>
      <c r="N20" t="s">
        <v>401</v>
      </c>
      <c r="Q20" t="s">
        <v>697</v>
      </c>
      <c r="R20" t="s">
        <v>1003</v>
      </c>
      <c r="S20" t="s">
        <v>652</v>
      </c>
      <c r="T20" t="s">
        <v>821</v>
      </c>
    </row>
    <row r="21" spans="1:20" x14ac:dyDescent="0.25">
      <c r="A21" t="s">
        <v>685</v>
      </c>
      <c r="B21" t="s">
        <v>517</v>
      </c>
      <c r="C21" t="s">
        <v>523</v>
      </c>
      <c r="J21" t="s">
        <v>702</v>
      </c>
      <c r="K21" t="s">
        <v>443</v>
      </c>
      <c r="L21" t="s">
        <v>405</v>
      </c>
      <c r="M21" t="s">
        <v>451</v>
      </c>
      <c r="N21" t="s">
        <v>401</v>
      </c>
      <c r="Q21" t="s">
        <v>532</v>
      </c>
      <c r="R21" t="s">
        <v>1002</v>
      </c>
      <c r="S21" t="s">
        <v>651</v>
      </c>
      <c r="T21" t="s">
        <v>821</v>
      </c>
    </row>
    <row r="22" spans="1:20" x14ac:dyDescent="0.25">
      <c r="A22" t="s">
        <v>685</v>
      </c>
      <c r="B22" t="s">
        <v>517</v>
      </c>
      <c r="C22" t="s">
        <v>523</v>
      </c>
      <c r="D22" t="s">
        <v>698</v>
      </c>
      <c r="E22" t="s">
        <v>699</v>
      </c>
      <c r="J22" t="s">
        <v>702</v>
      </c>
      <c r="K22" t="s">
        <v>443</v>
      </c>
      <c r="L22" t="s">
        <v>405</v>
      </c>
      <c r="Q22" t="s">
        <v>700</v>
      </c>
      <c r="R22" t="s">
        <v>1001</v>
      </c>
      <c r="S22" t="s">
        <v>701</v>
      </c>
      <c r="T22" t="s">
        <v>821</v>
      </c>
    </row>
    <row r="23" spans="1:20" x14ac:dyDescent="0.25">
      <c r="A23" t="s">
        <v>685</v>
      </c>
      <c r="B23" t="s">
        <v>517</v>
      </c>
      <c r="C23" t="s">
        <v>523</v>
      </c>
      <c r="D23" t="s">
        <v>703</v>
      </c>
      <c r="E23" t="s">
        <v>704</v>
      </c>
      <c r="J23" t="s">
        <v>702</v>
      </c>
      <c r="K23" t="s">
        <v>443</v>
      </c>
      <c r="L23" t="s">
        <v>405</v>
      </c>
      <c r="M23" t="s">
        <v>451</v>
      </c>
      <c r="N23" t="s">
        <v>401</v>
      </c>
      <c r="Q23" t="s">
        <v>705</v>
      </c>
      <c r="R23" t="s">
        <v>1000</v>
      </c>
      <c r="S23" t="s">
        <v>706</v>
      </c>
      <c r="T23" t="s">
        <v>821</v>
      </c>
    </row>
    <row r="24" spans="1:20" x14ac:dyDescent="0.25">
      <c r="A24" t="s">
        <v>685</v>
      </c>
      <c r="B24" t="s">
        <v>517</v>
      </c>
      <c r="C24" t="s">
        <v>523</v>
      </c>
      <c r="D24" t="s">
        <v>515</v>
      </c>
      <c r="E24" t="s">
        <v>525</v>
      </c>
      <c r="J24" t="s">
        <v>702</v>
      </c>
      <c r="K24" t="s">
        <v>450</v>
      </c>
      <c r="L24" t="s">
        <v>400</v>
      </c>
      <c r="M24" t="s">
        <v>451</v>
      </c>
      <c r="N24" t="s">
        <v>401</v>
      </c>
      <c r="Q24" t="s">
        <v>705</v>
      </c>
      <c r="R24" t="s">
        <v>999</v>
      </c>
      <c r="S24" t="s">
        <v>649</v>
      </c>
      <c r="T24" t="s">
        <v>821</v>
      </c>
    </row>
    <row r="25" spans="1:20" x14ac:dyDescent="0.25">
      <c r="A25" t="s">
        <v>685</v>
      </c>
      <c r="B25" t="s">
        <v>517</v>
      </c>
      <c r="C25" t="s">
        <v>523</v>
      </c>
      <c r="D25" t="s">
        <v>707</v>
      </c>
      <c r="E25" t="s">
        <v>708</v>
      </c>
      <c r="J25" t="s">
        <v>702</v>
      </c>
      <c r="K25" t="s">
        <v>443</v>
      </c>
      <c r="L25" t="s">
        <v>405</v>
      </c>
      <c r="Q25" t="s">
        <v>710</v>
      </c>
      <c r="R25" t="s">
        <v>998</v>
      </c>
      <c r="S25" t="s">
        <v>709</v>
      </c>
      <c r="T25" t="s">
        <v>821</v>
      </c>
    </row>
    <row r="26" spans="1:20" x14ac:dyDescent="0.25">
      <c r="A26" t="s">
        <v>685</v>
      </c>
      <c r="B26" t="s">
        <v>517</v>
      </c>
      <c r="C26" t="s">
        <v>523</v>
      </c>
      <c r="D26" t="s">
        <v>518</v>
      </c>
      <c r="E26" t="s">
        <v>527</v>
      </c>
      <c r="J26" t="s">
        <v>702</v>
      </c>
      <c r="K26" t="s">
        <v>451</v>
      </c>
      <c r="L26" t="s">
        <v>401</v>
      </c>
      <c r="M26" t="s">
        <v>450</v>
      </c>
      <c r="N26" t="s">
        <v>400</v>
      </c>
      <c r="Q26" t="s">
        <v>711</v>
      </c>
      <c r="R26" t="s">
        <v>997</v>
      </c>
      <c r="S26" t="s">
        <v>649</v>
      </c>
      <c r="T26" t="s">
        <v>821</v>
      </c>
    </row>
    <row r="27" spans="1:20" x14ac:dyDescent="0.25">
      <c r="A27" t="s">
        <v>685</v>
      </c>
      <c r="B27" t="s">
        <v>519</v>
      </c>
      <c r="C27" t="s">
        <v>528</v>
      </c>
      <c r="J27" t="s">
        <v>434</v>
      </c>
      <c r="K27" t="s">
        <v>447</v>
      </c>
      <c r="L27" t="s">
        <v>404</v>
      </c>
      <c r="M27" t="s">
        <v>451</v>
      </c>
      <c r="N27" t="s">
        <v>401</v>
      </c>
      <c r="R27" t="s">
        <v>996</v>
      </c>
      <c r="S27" t="s">
        <v>646</v>
      </c>
      <c r="T27" t="s">
        <v>821</v>
      </c>
    </row>
    <row r="28" spans="1:20" x14ac:dyDescent="0.25">
      <c r="A28" t="s">
        <v>685</v>
      </c>
      <c r="B28" t="s">
        <v>519</v>
      </c>
      <c r="C28" t="s">
        <v>528</v>
      </c>
      <c r="D28" t="s">
        <v>520</v>
      </c>
      <c r="E28" t="s">
        <v>530</v>
      </c>
      <c r="J28" t="s">
        <v>434</v>
      </c>
      <c r="K28" t="s">
        <v>447</v>
      </c>
      <c r="L28" t="s">
        <v>404</v>
      </c>
      <c r="M28" t="s">
        <v>451</v>
      </c>
      <c r="N28" t="s">
        <v>401</v>
      </c>
      <c r="Q28" t="s">
        <v>712</v>
      </c>
      <c r="R28" t="s">
        <v>995</v>
      </c>
      <c r="S28" t="s">
        <v>646</v>
      </c>
      <c r="T28" t="s">
        <v>821</v>
      </c>
    </row>
    <row r="29" spans="1:20" x14ac:dyDescent="0.25">
      <c r="A29" t="s">
        <v>685</v>
      </c>
      <c r="B29" t="s">
        <v>519</v>
      </c>
      <c r="C29" t="s">
        <v>528</v>
      </c>
      <c r="D29" t="s">
        <v>520</v>
      </c>
      <c r="E29" t="s">
        <v>530</v>
      </c>
      <c r="F29" s="2" t="s">
        <v>538</v>
      </c>
      <c r="G29" t="s">
        <v>539</v>
      </c>
      <c r="J29" t="s">
        <v>702</v>
      </c>
      <c r="R29" t="s">
        <v>993</v>
      </c>
      <c r="S29" t="s">
        <v>647</v>
      </c>
      <c r="T29" t="s">
        <v>821</v>
      </c>
    </row>
    <row r="30" spans="1:20" x14ac:dyDescent="0.25">
      <c r="A30" t="s">
        <v>685</v>
      </c>
      <c r="B30" t="s">
        <v>519</v>
      </c>
      <c r="C30" t="s">
        <v>528</v>
      </c>
      <c r="D30" t="s">
        <v>713</v>
      </c>
      <c r="E30" t="s">
        <v>714</v>
      </c>
      <c r="F30" s="2"/>
      <c r="J30" t="s">
        <v>702</v>
      </c>
      <c r="K30" t="s">
        <v>444</v>
      </c>
      <c r="L30" t="s">
        <v>406</v>
      </c>
      <c r="M30" t="s">
        <v>447</v>
      </c>
      <c r="N30" t="s">
        <v>404</v>
      </c>
      <c r="Q30" t="s">
        <v>715</v>
      </c>
      <c r="R30" t="s">
        <v>992</v>
      </c>
      <c r="S30" t="s">
        <v>716</v>
      </c>
      <c r="T30" t="s">
        <v>821</v>
      </c>
    </row>
    <row r="31" spans="1:20" x14ac:dyDescent="0.25">
      <c r="A31" t="s">
        <v>685</v>
      </c>
      <c r="B31" t="s">
        <v>521</v>
      </c>
      <c r="C31" t="s">
        <v>529</v>
      </c>
      <c r="J31" t="s">
        <v>436</v>
      </c>
      <c r="R31" t="s">
        <v>994</v>
      </c>
      <c r="S31" t="s">
        <v>645</v>
      </c>
      <c r="T31" t="s">
        <v>821</v>
      </c>
    </row>
    <row r="32" spans="1:20" x14ac:dyDescent="0.25">
      <c r="A32" t="s">
        <v>685</v>
      </c>
      <c r="B32" t="s">
        <v>521</v>
      </c>
      <c r="C32" t="s">
        <v>529</v>
      </c>
      <c r="D32" t="s">
        <v>522</v>
      </c>
      <c r="E32" t="s">
        <v>531</v>
      </c>
      <c r="J32" t="s">
        <v>436</v>
      </c>
      <c r="K32" t="s">
        <v>444</v>
      </c>
      <c r="L32" t="s">
        <v>406</v>
      </c>
      <c r="M32" t="s">
        <v>451</v>
      </c>
      <c r="N32" t="s">
        <v>401</v>
      </c>
      <c r="Q32" t="s">
        <v>540</v>
      </c>
      <c r="R32" t="s">
        <v>994</v>
      </c>
      <c r="S32" t="s">
        <v>645</v>
      </c>
      <c r="T32" t="s">
        <v>821</v>
      </c>
    </row>
    <row r="33" spans="1:20" x14ac:dyDescent="0.25">
      <c r="A33" t="s">
        <v>685</v>
      </c>
      <c r="B33" t="s">
        <v>387</v>
      </c>
      <c r="C33" t="s">
        <v>154</v>
      </c>
      <c r="J33" t="s">
        <v>436</v>
      </c>
      <c r="K33" t="s">
        <v>442</v>
      </c>
      <c r="L33" t="s">
        <v>408</v>
      </c>
      <c r="M33" t="s">
        <v>461</v>
      </c>
      <c r="N33" t="s">
        <v>397</v>
      </c>
      <c r="R33" t="s">
        <v>991</v>
      </c>
      <c r="S33" t="s">
        <v>648</v>
      </c>
      <c r="T33" t="s">
        <v>821</v>
      </c>
    </row>
    <row r="34" spans="1:20" x14ac:dyDescent="0.25">
      <c r="A34" t="s">
        <v>685</v>
      </c>
      <c r="B34" t="s">
        <v>387</v>
      </c>
      <c r="C34" t="s">
        <v>154</v>
      </c>
      <c r="D34" t="s">
        <v>541</v>
      </c>
      <c r="E34" t="s">
        <v>550</v>
      </c>
      <c r="J34" t="s">
        <v>434</v>
      </c>
      <c r="K34" t="s">
        <v>442</v>
      </c>
      <c r="L34" t="s">
        <v>408</v>
      </c>
      <c r="M34" t="s">
        <v>461</v>
      </c>
      <c r="N34" t="s">
        <v>397</v>
      </c>
      <c r="Q34" t="s">
        <v>559</v>
      </c>
      <c r="R34" t="s">
        <v>990</v>
      </c>
      <c r="S34" t="s">
        <v>648</v>
      </c>
      <c r="T34" t="s">
        <v>821</v>
      </c>
    </row>
    <row r="35" spans="1:20" x14ac:dyDescent="0.25">
      <c r="A35" t="s">
        <v>685</v>
      </c>
      <c r="B35" t="s">
        <v>387</v>
      </c>
      <c r="C35" t="s">
        <v>154</v>
      </c>
      <c r="D35" t="s">
        <v>542</v>
      </c>
      <c r="E35" t="s">
        <v>552</v>
      </c>
      <c r="J35" t="s">
        <v>434</v>
      </c>
      <c r="K35" t="s">
        <v>442</v>
      </c>
      <c r="L35" t="s">
        <v>408</v>
      </c>
      <c r="M35" t="s">
        <v>461</v>
      </c>
      <c r="N35" t="s">
        <v>397</v>
      </c>
      <c r="R35" t="s">
        <v>989</v>
      </c>
      <c r="S35" t="s">
        <v>648</v>
      </c>
      <c r="T35" t="s">
        <v>821</v>
      </c>
    </row>
    <row r="36" spans="1:20" x14ac:dyDescent="0.25">
      <c r="A36" t="s">
        <v>685</v>
      </c>
      <c r="B36" t="s">
        <v>387</v>
      </c>
      <c r="C36" t="s">
        <v>154</v>
      </c>
      <c r="D36" t="s">
        <v>543</v>
      </c>
      <c r="E36" t="s">
        <v>551</v>
      </c>
      <c r="J36" t="s">
        <v>434</v>
      </c>
      <c r="K36" t="s">
        <v>442</v>
      </c>
      <c r="L36" t="s">
        <v>408</v>
      </c>
      <c r="M36" t="s">
        <v>461</v>
      </c>
      <c r="N36" t="s">
        <v>397</v>
      </c>
      <c r="Q36" t="s">
        <v>560</v>
      </c>
      <c r="R36" t="s">
        <v>988</v>
      </c>
      <c r="S36" t="s">
        <v>648</v>
      </c>
      <c r="T36" t="s">
        <v>821</v>
      </c>
    </row>
    <row r="37" spans="1:20" x14ac:dyDescent="0.25">
      <c r="A37" t="s">
        <v>685</v>
      </c>
      <c r="B37" t="s">
        <v>387</v>
      </c>
      <c r="C37" t="s">
        <v>154</v>
      </c>
      <c r="D37" t="s">
        <v>544</v>
      </c>
      <c r="E37" t="s">
        <v>553</v>
      </c>
      <c r="J37" t="s">
        <v>434</v>
      </c>
      <c r="K37" t="s">
        <v>442</v>
      </c>
      <c r="L37" t="s">
        <v>408</v>
      </c>
      <c r="M37" t="s">
        <v>461</v>
      </c>
      <c r="N37" t="s">
        <v>397</v>
      </c>
      <c r="Q37" t="s">
        <v>561</v>
      </c>
      <c r="R37" t="s">
        <v>987</v>
      </c>
      <c r="S37" t="s">
        <v>648</v>
      </c>
      <c r="T37" t="s">
        <v>821</v>
      </c>
    </row>
    <row r="38" spans="1:20" x14ac:dyDescent="0.25">
      <c r="A38" t="s">
        <v>685</v>
      </c>
      <c r="B38" t="s">
        <v>387</v>
      </c>
      <c r="C38" t="s">
        <v>154</v>
      </c>
      <c r="D38" t="s">
        <v>545</v>
      </c>
      <c r="E38" t="s">
        <v>554</v>
      </c>
      <c r="J38" t="s">
        <v>434</v>
      </c>
      <c r="K38" t="s">
        <v>442</v>
      </c>
      <c r="L38" t="s">
        <v>408</v>
      </c>
      <c r="M38" t="s">
        <v>461</v>
      </c>
      <c r="N38" t="s">
        <v>397</v>
      </c>
      <c r="Q38" t="s">
        <v>562</v>
      </c>
      <c r="R38" t="s">
        <v>986</v>
      </c>
      <c r="S38" t="s">
        <v>648</v>
      </c>
      <c r="T38" t="s">
        <v>821</v>
      </c>
    </row>
    <row r="39" spans="1:20" x14ac:dyDescent="0.25">
      <c r="A39" t="s">
        <v>685</v>
      </c>
      <c r="B39" t="s">
        <v>387</v>
      </c>
      <c r="C39" t="s">
        <v>154</v>
      </c>
      <c r="D39" t="s">
        <v>546</v>
      </c>
      <c r="E39" t="s">
        <v>555</v>
      </c>
      <c r="J39" t="s">
        <v>434</v>
      </c>
      <c r="K39" t="s">
        <v>442</v>
      </c>
      <c r="L39" t="s">
        <v>408</v>
      </c>
      <c r="M39" t="s">
        <v>563</v>
      </c>
      <c r="N39" t="s">
        <v>397</v>
      </c>
      <c r="Q39" t="s">
        <v>565</v>
      </c>
      <c r="R39" t="s">
        <v>985</v>
      </c>
      <c r="S39" t="s">
        <v>648</v>
      </c>
      <c r="T39" t="s">
        <v>821</v>
      </c>
    </row>
    <row r="40" spans="1:20" x14ac:dyDescent="0.25">
      <c r="A40" t="s">
        <v>685</v>
      </c>
      <c r="B40" t="s">
        <v>387</v>
      </c>
      <c r="C40" t="s">
        <v>154</v>
      </c>
      <c r="D40" t="s">
        <v>547</v>
      </c>
      <c r="E40" t="s">
        <v>556</v>
      </c>
      <c r="J40" t="s">
        <v>702</v>
      </c>
      <c r="K40" t="s">
        <v>442</v>
      </c>
      <c r="L40" t="s">
        <v>408</v>
      </c>
      <c r="M40" t="s">
        <v>563</v>
      </c>
      <c r="N40" t="s">
        <v>564</v>
      </c>
      <c r="Q40" t="s">
        <v>566</v>
      </c>
      <c r="R40" t="s">
        <v>984</v>
      </c>
      <c r="S40" t="s">
        <v>648</v>
      </c>
      <c r="T40" t="s">
        <v>821</v>
      </c>
    </row>
    <row r="41" spans="1:20" x14ac:dyDescent="0.25">
      <c r="A41" t="s">
        <v>685</v>
      </c>
      <c r="B41" t="s">
        <v>387</v>
      </c>
      <c r="C41" t="s">
        <v>154</v>
      </c>
      <c r="D41" t="s">
        <v>547</v>
      </c>
      <c r="E41" t="s">
        <v>556</v>
      </c>
      <c r="F41" t="s">
        <v>567</v>
      </c>
      <c r="G41" t="s">
        <v>569</v>
      </c>
      <c r="J41" t="s">
        <v>434</v>
      </c>
      <c r="K41" t="s">
        <v>442</v>
      </c>
      <c r="L41" t="s">
        <v>408</v>
      </c>
      <c r="R41" t="s">
        <v>771</v>
      </c>
      <c r="S41" t="s">
        <v>648</v>
      </c>
      <c r="T41" t="s">
        <v>821</v>
      </c>
    </row>
    <row r="42" spans="1:20" x14ac:dyDescent="0.25">
      <c r="A42" t="s">
        <v>685</v>
      </c>
      <c r="B42" t="s">
        <v>387</v>
      </c>
      <c r="C42" t="s">
        <v>154</v>
      </c>
      <c r="D42" t="s">
        <v>547</v>
      </c>
      <c r="E42" t="s">
        <v>556</v>
      </c>
      <c r="F42" t="s">
        <v>568</v>
      </c>
      <c r="G42" t="s">
        <v>570</v>
      </c>
      <c r="J42" t="s">
        <v>702</v>
      </c>
      <c r="K42" t="s">
        <v>563</v>
      </c>
      <c r="L42" t="s">
        <v>564</v>
      </c>
      <c r="Q42" t="s">
        <v>571</v>
      </c>
      <c r="R42" t="s">
        <v>771</v>
      </c>
      <c r="S42" t="s">
        <v>648</v>
      </c>
      <c r="T42" t="s">
        <v>821</v>
      </c>
    </row>
    <row r="43" spans="1:20" x14ac:dyDescent="0.25">
      <c r="A43" t="s">
        <v>685</v>
      </c>
      <c r="B43" t="s">
        <v>387</v>
      </c>
      <c r="C43" t="s">
        <v>154</v>
      </c>
      <c r="D43" t="s">
        <v>548</v>
      </c>
      <c r="E43" t="s">
        <v>557</v>
      </c>
      <c r="J43" t="s">
        <v>434</v>
      </c>
      <c r="K43" t="s">
        <v>442</v>
      </c>
      <c r="L43" t="s">
        <v>408</v>
      </c>
      <c r="M43" t="s">
        <v>563</v>
      </c>
      <c r="N43" t="s">
        <v>564</v>
      </c>
      <c r="Q43" t="s">
        <v>572</v>
      </c>
      <c r="R43" t="s">
        <v>983</v>
      </c>
      <c r="S43" t="s">
        <v>648</v>
      </c>
      <c r="T43" t="s">
        <v>821</v>
      </c>
    </row>
    <row r="44" spans="1:20" x14ac:dyDescent="0.25">
      <c r="A44" t="s">
        <v>685</v>
      </c>
      <c r="B44" t="s">
        <v>387</v>
      </c>
      <c r="C44" t="s">
        <v>154</v>
      </c>
      <c r="D44" t="s">
        <v>549</v>
      </c>
      <c r="E44" t="s">
        <v>558</v>
      </c>
      <c r="J44" t="s">
        <v>436</v>
      </c>
      <c r="K44" t="s">
        <v>442</v>
      </c>
      <c r="L44" t="s">
        <v>408</v>
      </c>
      <c r="M44" t="s">
        <v>563</v>
      </c>
      <c r="N44" t="s">
        <v>564</v>
      </c>
      <c r="Q44" t="s">
        <v>573</v>
      </c>
      <c r="R44" t="s">
        <v>982</v>
      </c>
      <c r="S44" t="s">
        <v>648</v>
      </c>
      <c r="T44" t="s">
        <v>821</v>
      </c>
    </row>
    <row r="45" spans="1:20" x14ac:dyDescent="0.25">
      <c r="A45" t="s">
        <v>685</v>
      </c>
      <c r="B45" t="s">
        <v>387</v>
      </c>
      <c r="C45" t="s">
        <v>154</v>
      </c>
      <c r="D45" t="s">
        <v>549</v>
      </c>
      <c r="E45" t="s">
        <v>558</v>
      </c>
      <c r="F45" t="s">
        <v>574</v>
      </c>
      <c r="G45" t="s">
        <v>575</v>
      </c>
      <c r="J45" t="s">
        <v>436</v>
      </c>
      <c r="K45" t="s">
        <v>563</v>
      </c>
      <c r="L45" t="s">
        <v>564</v>
      </c>
      <c r="Q45" t="s">
        <v>576</v>
      </c>
      <c r="R45" t="s">
        <v>771</v>
      </c>
      <c r="S45" t="s">
        <v>648</v>
      </c>
      <c r="T45" t="s">
        <v>821</v>
      </c>
    </row>
    <row r="46" spans="1:20" x14ac:dyDescent="0.25">
      <c r="A46" t="s">
        <v>685</v>
      </c>
      <c r="B46" t="s">
        <v>578</v>
      </c>
      <c r="C46" t="s">
        <v>577</v>
      </c>
      <c r="J46" t="s">
        <v>436</v>
      </c>
      <c r="K46" t="s">
        <v>443</v>
      </c>
      <c r="L46" t="s">
        <v>405</v>
      </c>
      <c r="M46" t="s">
        <v>449</v>
      </c>
      <c r="N46" t="s">
        <v>402</v>
      </c>
      <c r="Q46" t="s">
        <v>579</v>
      </c>
      <c r="R46" t="s">
        <v>981</v>
      </c>
      <c r="S46" t="s">
        <v>667</v>
      </c>
      <c r="T46" t="s">
        <v>821</v>
      </c>
    </row>
    <row r="47" spans="1:20" x14ac:dyDescent="0.25">
      <c r="A47" t="s">
        <v>685</v>
      </c>
      <c r="B47" t="s">
        <v>578</v>
      </c>
      <c r="C47" t="s">
        <v>577</v>
      </c>
      <c r="D47" t="s">
        <v>581</v>
      </c>
      <c r="E47" t="s">
        <v>582</v>
      </c>
      <c r="J47" t="s">
        <v>583</v>
      </c>
      <c r="K47" t="s">
        <v>445</v>
      </c>
      <c r="L47" t="s">
        <v>407</v>
      </c>
      <c r="M47" t="s">
        <v>450</v>
      </c>
      <c r="N47" t="s">
        <v>400</v>
      </c>
      <c r="Q47" t="s">
        <v>584</v>
      </c>
      <c r="R47" t="s">
        <v>980</v>
      </c>
      <c r="S47" t="s">
        <v>650</v>
      </c>
      <c r="T47" t="s">
        <v>821</v>
      </c>
    </row>
    <row r="48" spans="1:20" x14ac:dyDescent="0.25">
      <c r="A48" t="s">
        <v>685</v>
      </c>
      <c r="B48" t="s">
        <v>578</v>
      </c>
      <c r="C48" t="s">
        <v>577</v>
      </c>
      <c r="D48" t="s">
        <v>585</v>
      </c>
      <c r="E48" t="s">
        <v>586</v>
      </c>
      <c r="J48" t="s">
        <v>436</v>
      </c>
      <c r="K48" t="s">
        <v>449</v>
      </c>
      <c r="L48" t="s">
        <v>402</v>
      </c>
      <c r="Q48" t="s">
        <v>587</v>
      </c>
      <c r="R48" t="s">
        <v>979</v>
      </c>
      <c r="S48" t="s">
        <v>666</v>
      </c>
      <c r="T48" t="s">
        <v>821</v>
      </c>
    </row>
    <row r="49" spans="1:20" x14ac:dyDescent="0.25">
      <c r="A49" t="s">
        <v>685</v>
      </c>
      <c r="B49" t="s">
        <v>588</v>
      </c>
      <c r="C49" t="s">
        <v>589</v>
      </c>
      <c r="J49" t="s">
        <v>436</v>
      </c>
      <c r="K49" t="s">
        <v>443</v>
      </c>
      <c r="L49" t="s">
        <v>405</v>
      </c>
      <c r="M49" t="s">
        <v>450</v>
      </c>
      <c r="N49" t="s">
        <v>400</v>
      </c>
      <c r="R49" t="s">
        <v>978</v>
      </c>
      <c r="S49" t="s">
        <v>580</v>
      </c>
      <c r="T49" t="s">
        <v>821</v>
      </c>
    </row>
    <row r="50" spans="1:20" x14ac:dyDescent="0.25">
      <c r="A50" t="s">
        <v>685</v>
      </c>
      <c r="B50" t="s">
        <v>588</v>
      </c>
      <c r="C50" t="s">
        <v>589</v>
      </c>
      <c r="D50" t="s">
        <v>590</v>
      </c>
      <c r="E50" t="s">
        <v>591</v>
      </c>
      <c r="J50" t="s">
        <v>702</v>
      </c>
      <c r="K50" t="s">
        <v>443</v>
      </c>
      <c r="L50" t="s">
        <v>405</v>
      </c>
      <c r="Q50" t="s">
        <v>592</v>
      </c>
      <c r="R50" t="s">
        <v>977</v>
      </c>
      <c r="S50" t="s">
        <v>580</v>
      </c>
      <c r="T50" t="s">
        <v>821</v>
      </c>
    </row>
    <row r="51" spans="1:20" x14ac:dyDescent="0.25">
      <c r="A51" t="s">
        <v>685</v>
      </c>
      <c r="B51" t="s">
        <v>588</v>
      </c>
      <c r="C51" t="s">
        <v>589</v>
      </c>
      <c r="D51" t="s">
        <v>593</v>
      </c>
      <c r="E51" t="s">
        <v>594</v>
      </c>
      <c r="J51" t="s">
        <v>753</v>
      </c>
      <c r="K51" t="s">
        <v>443</v>
      </c>
      <c r="L51" t="s">
        <v>405</v>
      </c>
      <c r="M51" t="s">
        <v>451</v>
      </c>
      <c r="N51" t="s">
        <v>401</v>
      </c>
      <c r="Q51" t="s">
        <v>595</v>
      </c>
      <c r="R51" t="s">
        <v>976</v>
      </c>
      <c r="S51" t="s">
        <v>669</v>
      </c>
      <c r="T51" t="s">
        <v>821</v>
      </c>
    </row>
    <row r="52" spans="1:20" x14ac:dyDescent="0.25">
      <c r="A52" t="s">
        <v>685</v>
      </c>
      <c r="B52" t="s">
        <v>588</v>
      </c>
      <c r="C52" t="s">
        <v>589</v>
      </c>
      <c r="D52" t="s">
        <v>596</v>
      </c>
      <c r="E52" t="s">
        <v>597</v>
      </c>
      <c r="J52" t="s">
        <v>434</v>
      </c>
      <c r="K52" t="s">
        <v>450</v>
      </c>
      <c r="L52" t="s">
        <v>400</v>
      </c>
      <c r="M52" t="s">
        <v>445</v>
      </c>
      <c r="N52" t="s">
        <v>407</v>
      </c>
      <c r="Q52" t="s">
        <v>598</v>
      </c>
      <c r="R52" t="s">
        <v>975</v>
      </c>
      <c r="S52" t="s">
        <v>668</v>
      </c>
      <c r="T52" t="s">
        <v>821</v>
      </c>
    </row>
    <row r="53" spans="1:20" x14ac:dyDescent="0.25">
      <c r="A53" t="s">
        <v>685</v>
      </c>
      <c r="B53" t="s">
        <v>588</v>
      </c>
      <c r="C53" t="s">
        <v>589</v>
      </c>
      <c r="D53" t="s">
        <v>599</v>
      </c>
      <c r="E53" t="s">
        <v>28</v>
      </c>
      <c r="J53" t="s">
        <v>436</v>
      </c>
      <c r="K53" t="s">
        <v>449</v>
      </c>
      <c r="L53" t="s">
        <v>400</v>
      </c>
      <c r="M53" t="s">
        <v>450</v>
      </c>
      <c r="N53" t="s">
        <v>400</v>
      </c>
      <c r="Q53" t="s">
        <v>600</v>
      </c>
      <c r="R53" t="s">
        <v>974</v>
      </c>
      <c r="S53" t="s">
        <v>580</v>
      </c>
      <c r="T53" t="s">
        <v>821</v>
      </c>
    </row>
    <row r="54" spans="1:20" x14ac:dyDescent="0.25">
      <c r="A54" t="s">
        <v>685</v>
      </c>
      <c r="D54" t="s">
        <v>613</v>
      </c>
      <c r="E54" t="s">
        <v>115</v>
      </c>
      <c r="J54" t="s">
        <v>755</v>
      </c>
      <c r="K54" t="s">
        <v>449</v>
      </c>
      <c r="L54" t="s">
        <v>402</v>
      </c>
      <c r="M54" t="s">
        <v>563</v>
      </c>
      <c r="N54" t="s">
        <v>564</v>
      </c>
      <c r="Q54" t="s">
        <v>614</v>
      </c>
      <c r="R54" t="s">
        <v>973</v>
      </c>
      <c r="S54" t="s">
        <v>646</v>
      </c>
      <c r="T54" t="s">
        <v>821</v>
      </c>
    </row>
    <row r="55" spans="1:20" x14ac:dyDescent="0.25">
      <c r="A55" t="s">
        <v>685</v>
      </c>
      <c r="B55" t="s">
        <v>615</v>
      </c>
      <c r="C55" t="s">
        <v>160</v>
      </c>
      <c r="J55" t="s">
        <v>755</v>
      </c>
      <c r="K55" t="s">
        <v>563</v>
      </c>
      <c r="L55" t="s">
        <v>564</v>
      </c>
      <c r="M55" t="s">
        <v>437</v>
      </c>
      <c r="N55" t="s">
        <v>409</v>
      </c>
      <c r="Q55" t="s">
        <v>616</v>
      </c>
      <c r="R55" t="s">
        <v>972</v>
      </c>
      <c r="S55" t="s">
        <v>580</v>
      </c>
      <c r="T55" t="s">
        <v>821</v>
      </c>
    </row>
    <row r="56" spans="1:20" x14ac:dyDescent="0.25">
      <c r="A56" t="s">
        <v>685</v>
      </c>
      <c r="D56" t="s">
        <v>617</v>
      </c>
      <c r="E56" t="s">
        <v>618</v>
      </c>
      <c r="J56" t="s">
        <v>755</v>
      </c>
      <c r="K56" t="s">
        <v>449</v>
      </c>
      <c r="L56" t="s">
        <v>402</v>
      </c>
      <c r="M56" t="s">
        <v>446</v>
      </c>
      <c r="N56" t="s">
        <v>399</v>
      </c>
      <c r="Q56" t="s">
        <v>619</v>
      </c>
      <c r="R56" t="s">
        <v>970</v>
      </c>
      <c r="S56" t="s">
        <v>666</v>
      </c>
      <c r="T56" t="s">
        <v>821</v>
      </c>
    </row>
    <row r="57" spans="1:20" x14ac:dyDescent="0.25">
      <c r="A57" t="s">
        <v>685</v>
      </c>
      <c r="D57" t="s">
        <v>620</v>
      </c>
      <c r="E57" t="s">
        <v>621</v>
      </c>
      <c r="J57" t="s">
        <v>755</v>
      </c>
      <c r="K57" t="s">
        <v>446</v>
      </c>
      <c r="L57" t="s">
        <v>399</v>
      </c>
      <c r="M57" t="s">
        <v>443</v>
      </c>
      <c r="N57" t="s">
        <v>405</v>
      </c>
      <c r="Q57" t="s">
        <v>622</v>
      </c>
      <c r="R57" t="s">
        <v>971</v>
      </c>
      <c r="S57" t="s">
        <v>580</v>
      </c>
      <c r="T57" t="s">
        <v>821</v>
      </c>
    </row>
    <row r="58" spans="1:20" x14ac:dyDescent="0.25">
      <c r="A58" t="s">
        <v>685</v>
      </c>
      <c r="B58" t="s">
        <v>623</v>
      </c>
      <c r="C58" t="s">
        <v>624</v>
      </c>
      <c r="J58" t="s">
        <v>755</v>
      </c>
      <c r="K58" t="s">
        <v>437</v>
      </c>
      <c r="L58" t="s">
        <v>409</v>
      </c>
      <c r="M58" t="s">
        <v>563</v>
      </c>
      <c r="N58" t="s">
        <v>564</v>
      </c>
      <c r="Q58" t="s">
        <v>625</v>
      </c>
      <c r="R58" t="s">
        <v>969</v>
      </c>
      <c r="S58" t="s">
        <v>580</v>
      </c>
      <c r="T58" t="s">
        <v>821</v>
      </c>
    </row>
    <row r="59" spans="1:20" x14ac:dyDescent="0.25">
      <c r="A59" t="s">
        <v>685</v>
      </c>
      <c r="B59" t="s">
        <v>623</v>
      </c>
      <c r="C59" t="s">
        <v>624</v>
      </c>
      <c r="D59" t="s">
        <v>626</v>
      </c>
      <c r="E59" t="s">
        <v>150</v>
      </c>
      <c r="J59" t="s">
        <v>755</v>
      </c>
      <c r="K59" t="s">
        <v>437</v>
      </c>
      <c r="L59" t="s">
        <v>409</v>
      </c>
      <c r="M59" t="s">
        <v>563</v>
      </c>
      <c r="N59" t="s">
        <v>564</v>
      </c>
      <c r="Q59" t="s">
        <v>470</v>
      </c>
      <c r="R59" t="s">
        <v>968</v>
      </c>
      <c r="S59" t="s">
        <v>580</v>
      </c>
      <c r="T59" t="s">
        <v>821</v>
      </c>
    </row>
    <row r="60" spans="1:20" x14ac:dyDescent="0.25">
      <c r="A60" t="s">
        <v>685</v>
      </c>
      <c r="B60" t="s">
        <v>627</v>
      </c>
      <c r="C60" t="s">
        <v>628</v>
      </c>
      <c r="J60" t="s">
        <v>755</v>
      </c>
      <c r="K60" t="s">
        <v>437</v>
      </c>
      <c r="L60" t="s">
        <v>409</v>
      </c>
      <c r="M60" t="s">
        <v>563</v>
      </c>
      <c r="N60" t="s">
        <v>564</v>
      </c>
      <c r="R60" t="s">
        <v>967</v>
      </c>
      <c r="S60" t="s">
        <v>580</v>
      </c>
      <c r="T60" t="s">
        <v>821</v>
      </c>
    </row>
    <row r="61" spans="1:20" x14ac:dyDescent="0.25">
      <c r="A61" t="s">
        <v>685</v>
      </c>
      <c r="B61" t="s">
        <v>629</v>
      </c>
      <c r="C61" t="s">
        <v>630</v>
      </c>
      <c r="J61" t="s">
        <v>755</v>
      </c>
      <c r="K61" t="s">
        <v>447</v>
      </c>
      <c r="L61" t="s">
        <v>404</v>
      </c>
      <c r="M61" t="s">
        <v>449</v>
      </c>
      <c r="N61" t="s">
        <v>402</v>
      </c>
      <c r="Q61" t="s">
        <v>631</v>
      </c>
      <c r="R61" t="s">
        <v>966</v>
      </c>
      <c r="S61" t="s">
        <v>666</v>
      </c>
      <c r="T61" t="s">
        <v>821</v>
      </c>
    </row>
    <row r="62" spans="1:20" x14ac:dyDescent="0.25">
      <c r="A62" t="s">
        <v>685</v>
      </c>
      <c r="B62" t="s">
        <v>632</v>
      </c>
      <c r="C62" t="s">
        <v>633</v>
      </c>
      <c r="J62" t="s">
        <v>755</v>
      </c>
      <c r="K62" t="s">
        <v>449</v>
      </c>
      <c r="L62" t="s">
        <v>402</v>
      </c>
      <c r="M62" t="s">
        <v>437</v>
      </c>
      <c r="N62" t="s">
        <v>409</v>
      </c>
      <c r="R62" t="s">
        <v>965</v>
      </c>
      <c r="S62" t="s">
        <v>580</v>
      </c>
      <c r="T62" t="s">
        <v>821</v>
      </c>
    </row>
    <row r="63" spans="1:20" x14ac:dyDescent="0.25">
      <c r="A63" t="s">
        <v>685</v>
      </c>
      <c r="B63" t="s">
        <v>634</v>
      </c>
      <c r="C63" t="s">
        <v>635</v>
      </c>
      <c r="J63" t="s">
        <v>434</v>
      </c>
      <c r="K63" t="s">
        <v>449</v>
      </c>
      <c r="L63" t="s">
        <v>402</v>
      </c>
      <c r="M63" t="s">
        <v>446</v>
      </c>
      <c r="N63" t="s">
        <v>399</v>
      </c>
      <c r="Q63" t="s">
        <v>636</v>
      </c>
      <c r="R63" t="s">
        <v>964</v>
      </c>
      <c r="S63" t="s">
        <v>637</v>
      </c>
      <c r="T63" t="s">
        <v>821</v>
      </c>
    </row>
    <row r="64" spans="1:20" x14ac:dyDescent="0.25">
      <c r="A64" t="s">
        <v>685</v>
      </c>
      <c r="B64" t="s">
        <v>634</v>
      </c>
      <c r="C64" t="s">
        <v>635</v>
      </c>
      <c r="D64" t="s">
        <v>638</v>
      </c>
      <c r="E64" t="s">
        <v>639</v>
      </c>
      <c r="J64" t="s">
        <v>434</v>
      </c>
      <c r="K64" t="s">
        <v>449</v>
      </c>
      <c r="L64" t="s">
        <v>402</v>
      </c>
      <c r="M64" t="s">
        <v>563</v>
      </c>
      <c r="N64" t="s">
        <v>564</v>
      </c>
      <c r="R64" t="s">
        <v>963</v>
      </c>
      <c r="S64" t="s">
        <v>675</v>
      </c>
      <c r="T64" t="s">
        <v>821</v>
      </c>
    </row>
    <row r="65" spans="1:20" x14ac:dyDescent="0.25">
      <c r="A65" t="s">
        <v>685</v>
      </c>
      <c r="B65" t="s">
        <v>640</v>
      </c>
      <c r="C65" t="s">
        <v>641</v>
      </c>
      <c r="J65" t="s">
        <v>436</v>
      </c>
      <c r="K65" t="s">
        <v>443</v>
      </c>
      <c r="L65" t="s">
        <v>405</v>
      </c>
      <c r="M65" t="s">
        <v>446</v>
      </c>
      <c r="N65" t="s">
        <v>399</v>
      </c>
      <c r="Q65" t="s">
        <v>642</v>
      </c>
      <c r="R65" t="s">
        <v>962</v>
      </c>
      <c r="S65" t="s">
        <v>660</v>
      </c>
      <c r="T65" t="s">
        <v>821</v>
      </c>
    </row>
    <row r="66" spans="1:20" x14ac:dyDescent="0.25">
      <c r="A66" t="s">
        <v>685</v>
      </c>
      <c r="B66" t="s">
        <v>681</v>
      </c>
      <c r="C66" t="s">
        <v>677</v>
      </c>
      <c r="J66" t="s">
        <v>643</v>
      </c>
      <c r="K66" t="s">
        <v>443</v>
      </c>
      <c r="L66" t="s">
        <v>405</v>
      </c>
      <c r="M66" t="s">
        <v>446</v>
      </c>
      <c r="N66" t="s">
        <v>399</v>
      </c>
      <c r="Q66" t="s">
        <v>684</v>
      </c>
      <c r="R66" t="s">
        <v>961</v>
      </c>
      <c r="S66" t="s">
        <v>644</v>
      </c>
      <c r="T66" t="s">
        <v>821</v>
      </c>
    </row>
    <row r="1003" spans="5:18" x14ac:dyDescent="0.25">
      <c r="E1003" t="s">
        <v>2</v>
      </c>
      <c r="F1003" t="s">
        <v>3</v>
      </c>
      <c r="G1003" t="s">
        <v>1</v>
      </c>
      <c r="H1003" t="s">
        <v>4</v>
      </c>
      <c r="I1003" t="s">
        <v>18</v>
      </c>
      <c r="J1003" t="s">
        <v>19</v>
      </c>
      <c r="K1003" t="s">
        <v>0</v>
      </c>
      <c r="L1003" t="s">
        <v>5</v>
      </c>
      <c r="M1003" t="s">
        <v>382</v>
      </c>
      <c r="N1003" t="s">
        <v>384</v>
      </c>
      <c r="O1003" t="s">
        <v>385</v>
      </c>
      <c r="P1003" t="s">
        <v>386</v>
      </c>
      <c r="R1003" t="s">
        <v>433</v>
      </c>
    </row>
    <row r="1004" spans="5:18" x14ac:dyDescent="0.25">
      <c r="E1004" t="s">
        <v>210</v>
      </c>
      <c r="F1004" t="s">
        <v>48</v>
      </c>
      <c r="G1004" t="s">
        <v>216</v>
      </c>
      <c r="H1004" t="s">
        <v>6</v>
      </c>
      <c r="I1004" t="s">
        <v>223</v>
      </c>
      <c r="J1004" t="s">
        <v>54</v>
      </c>
      <c r="K1004" t="s">
        <v>258</v>
      </c>
      <c r="L1004" t="s">
        <v>96</v>
      </c>
      <c r="M1004" t="s">
        <v>437</v>
      </c>
      <c r="N1004" t="s">
        <v>409</v>
      </c>
      <c r="O1004" t="s">
        <v>437</v>
      </c>
      <c r="P1004" t="s">
        <v>409</v>
      </c>
      <c r="R1004" t="s">
        <v>434</v>
      </c>
    </row>
    <row r="1005" spans="5:18" x14ac:dyDescent="0.25">
      <c r="E1005" t="s">
        <v>211</v>
      </c>
      <c r="F1005" t="s">
        <v>49</v>
      </c>
      <c r="G1005" t="s">
        <v>217</v>
      </c>
      <c r="H1005" t="s">
        <v>7</v>
      </c>
      <c r="I1005" t="s">
        <v>224</v>
      </c>
      <c r="J1005" t="s">
        <v>62</v>
      </c>
      <c r="K1005" t="s">
        <v>259</v>
      </c>
      <c r="L1005" t="s">
        <v>97</v>
      </c>
      <c r="M1005" t="s">
        <v>438</v>
      </c>
      <c r="N1005" t="s">
        <v>413</v>
      </c>
      <c r="O1005" t="s">
        <v>438</v>
      </c>
      <c r="P1005" t="s">
        <v>413</v>
      </c>
      <c r="R1005" t="s">
        <v>436</v>
      </c>
    </row>
    <row r="1006" spans="5:18" x14ac:dyDescent="0.25">
      <c r="E1006" t="s">
        <v>212</v>
      </c>
      <c r="F1006" t="s">
        <v>50</v>
      </c>
      <c r="G1006" t="s">
        <v>218</v>
      </c>
      <c r="H1006" t="s">
        <v>16</v>
      </c>
      <c r="I1006" t="s">
        <v>225</v>
      </c>
      <c r="J1006" t="s">
        <v>55</v>
      </c>
      <c r="K1006" t="s">
        <v>260</v>
      </c>
      <c r="L1006" t="s">
        <v>98</v>
      </c>
      <c r="M1006" t="s">
        <v>439</v>
      </c>
      <c r="N1006" t="s">
        <v>410</v>
      </c>
      <c r="O1006" t="s">
        <v>439</v>
      </c>
      <c r="P1006" t="s">
        <v>410</v>
      </c>
      <c r="R1006" t="s">
        <v>435</v>
      </c>
    </row>
    <row r="1007" spans="5:18" x14ac:dyDescent="0.25">
      <c r="E1007" t="s">
        <v>213</v>
      </c>
      <c r="F1007" t="s">
        <v>51</v>
      </c>
      <c r="G1007" t="s">
        <v>219</v>
      </c>
      <c r="H1007" t="s">
        <v>17</v>
      </c>
      <c r="I1007" t="s">
        <v>226</v>
      </c>
      <c r="J1007" t="s">
        <v>63</v>
      </c>
      <c r="K1007" t="s">
        <v>261</v>
      </c>
      <c r="L1007" t="s">
        <v>99</v>
      </c>
      <c r="M1007" t="s">
        <v>440</v>
      </c>
      <c r="N1007" t="s">
        <v>411</v>
      </c>
      <c r="O1007" t="s">
        <v>440</v>
      </c>
      <c r="P1007" t="s">
        <v>411</v>
      </c>
      <c r="R1007" t="s">
        <v>583</v>
      </c>
    </row>
    <row r="1008" spans="5:18" x14ac:dyDescent="0.25">
      <c r="E1008" t="s">
        <v>214</v>
      </c>
      <c r="F1008" t="s">
        <v>52</v>
      </c>
      <c r="G1008" t="s">
        <v>220</v>
      </c>
      <c r="H1008" t="s">
        <v>10</v>
      </c>
      <c r="I1008" t="s">
        <v>227</v>
      </c>
      <c r="J1008" t="s">
        <v>64</v>
      </c>
      <c r="K1008" t="s">
        <v>262</v>
      </c>
      <c r="L1008" t="s">
        <v>32</v>
      </c>
      <c r="M1008" t="s">
        <v>441</v>
      </c>
      <c r="N1008" t="s">
        <v>412</v>
      </c>
      <c r="O1008" t="s">
        <v>441</v>
      </c>
      <c r="P1008" t="s">
        <v>412</v>
      </c>
      <c r="R1008" t="s">
        <v>643</v>
      </c>
    </row>
    <row r="1009" spans="5:18" x14ac:dyDescent="0.25">
      <c r="E1009" t="s">
        <v>215</v>
      </c>
      <c r="F1009" t="s">
        <v>53</v>
      </c>
      <c r="G1009" t="s">
        <v>221</v>
      </c>
      <c r="H1009" t="s">
        <v>11</v>
      </c>
      <c r="I1009" t="s">
        <v>228</v>
      </c>
      <c r="J1009" t="s">
        <v>65</v>
      </c>
      <c r="K1009" t="s">
        <v>263</v>
      </c>
      <c r="L1009" t="s">
        <v>100</v>
      </c>
      <c r="M1009" t="s">
        <v>442</v>
      </c>
      <c r="N1009" t="s">
        <v>408</v>
      </c>
      <c r="O1009" t="s">
        <v>442</v>
      </c>
      <c r="P1009" t="s">
        <v>408</v>
      </c>
      <c r="R1009" t="s">
        <v>702</v>
      </c>
    </row>
    <row r="1010" spans="5:18" x14ac:dyDescent="0.25">
      <c r="G1010" t="s">
        <v>222</v>
      </c>
      <c r="H1010" t="s">
        <v>8</v>
      </c>
      <c r="I1010" t="s">
        <v>229</v>
      </c>
      <c r="J1010" t="s">
        <v>56</v>
      </c>
      <c r="K1010" t="s">
        <v>264</v>
      </c>
      <c r="L1010" t="s">
        <v>101</v>
      </c>
      <c r="M1010" t="s">
        <v>443</v>
      </c>
      <c r="N1010" t="s">
        <v>405</v>
      </c>
      <c r="O1010" t="s">
        <v>443</v>
      </c>
      <c r="P1010" t="s">
        <v>405</v>
      </c>
      <c r="R1010" t="s">
        <v>753</v>
      </c>
    </row>
    <row r="1011" spans="5:18" x14ac:dyDescent="0.25">
      <c r="G1011" t="s">
        <v>20</v>
      </c>
      <c r="H1011" t="s">
        <v>9</v>
      </c>
      <c r="I1011" t="s">
        <v>230</v>
      </c>
      <c r="J1011" t="s">
        <v>67</v>
      </c>
      <c r="K1011" t="s">
        <v>265</v>
      </c>
      <c r="L1011" t="s">
        <v>27</v>
      </c>
      <c r="M1011" t="s">
        <v>444</v>
      </c>
      <c r="N1011" t="s">
        <v>406</v>
      </c>
      <c r="O1011" t="s">
        <v>444</v>
      </c>
      <c r="P1011" t="s">
        <v>406</v>
      </c>
      <c r="R1011" t="s">
        <v>755</v>
      </c>
    </row>
    <row r="1012" spans="5:18" x14ac:dyDescent="0.25">
      <c r="G1012" t="s">
        <v>21</v>
      </c>
      <c r="H1012" t="s">
        <v>12</v>
      </c>
      <c r="I1012" t="s">
        <v>231</v>
      </c>
      <c r="J1012" t="s">
        <v>66</v>
      </c>
      <c r="K1012" t="s">
        <v>266</v>
      </c>
      <c r="L1012" t="s">
        <v>102</v>
      </c>
      <c r="M1012" t="s">
        <v>445</v>
      </c>
      <c r="N1012" t="s">
        <v>407</v>
      </c>
      <c r="O1012" t="s">
        <v>445</v>
      </c>
      <c r="P1012" t="s">
        <v>407</v>
      </c>
    </row>
    <row r="1013" spans="5:18" x14ac:dyDescent="0.25">
      <c r="G1013" t="s">
        <v>22</v>
      </c>
      <c r="H1013" t="s">
        <v>13</v>
      </c>
      <c r="I1013" t="s">
        <v>232</v>
      </c>
      <c r="J1013" t="s">
        <v>68</v>
      </c>
      <c r="K1013" t="s">
        <v>267</v>
      </c>
      <c r="L1013" t="s">
        <v>103</v>
      </c>
      <c r="M1013" t="s">
        <v>446</v>
      </c>
      <c r="N1013" t="s">
        <v>399</v>
      </c>
      <c r="O1013" t="s">
        <v>446</v>
      </c>
      <c r="P1013" t="s">
        <v>399</v>
      </c>
    </row>
    <row r="1014" spans="5:18" x14ac:dyDescent="0.25">
      <c r="G1014" t="s">
        <v>23</v>
      </c>
      <c r="H1014" t="s">
        <v>14</v>
      </c>
      <c r="I1014" t="s">
        <v>233</v>
      </c>
      <c r="J1014" t="s">
        <v>70</v>
      </c>
      <c r="K1014" t="s">
        <v>268</v>
      </c>
      <c r="L1014" t="s">
        <v>104</v>
      </c>
      <c r="M1014" t="s">
        <v>447</v>
      </c>
      <c r="N1014" t="s">
        <v>404</v>
      </c>
      <c r="O1014" t="s">
        <v>447</v>
      </c>
      <c r="P1014" t="s">
        <v>404</v>
      </c>
    </row>
    <row r="1015" spans="5:18" x14ac:dyDescent="0.25">
      <c r="G1015" t="s">
        <v>24</v>
      </c>
      <c r="H1015" t="s">
        <v>15</v>
      </c>
      <c r="I1015" t="s">
        <v>234</v>
      </c>
      <c r="J1015" t="s">
        <v>71</v>
      </c>
      <c r="K1015" t="s">
        <v>269</v>
      </c>
      <c r="L1015" t="s">
        <v>105</v>
      </c>
      <c r="M1015" t="s">
        <v>448</v>
      </c>
      <c r="N1015" t="s">
        <v>403</v>
      </c>
      <c r="O1015" t="s">
        <v>448</v>
      </c>
      <c r="P1015" t="s">
        <v>403</v>
      </c>
    </row>
    <row r="1016" spans="5:18" x14ac:dyDescent="0.25">
      <c r="G1016" t="s">
        <v>29</v>
      </c>
      <c r="H1016" t="s">
        <v>25</v>
      </c>
      <c r="I1016" t="s">
        <v>235</v>
      </c>
      <c r="J1016" t="s">
        <v>73</v>
      </c>
      <c r="K1016" t="s">
        <v>270</v>
      </c>
      <c r="L1016" t="s">
        <v>106</v>
      </c>
      <c r="M1016" t="s">
        <v>449</v>
      </c>
      <c r="N1016" t="s">
        <v>402</v>
      </c>
      <c r="O1016" t="s">
        <v>449</v>
      </c>
      <c r="P1016" t="s">
        <v>402</v>
      </c>
    </row>
    <row r="1017" spans="5:18" x14ac:dyDescent="0.25">
      <c r="G1017" t="s">
        <v>39</v>
      </c>
      <c r="H1017" t="s">
        <v>28</v>
      </c>
      <c r="I1017" t="s">
        <v>236</v>
      </c>
      <c r="J1017" t="s">
        <v>74</v>
      </c>
      <c r="K1017" t="s">
        <v>271</v>
      </c>
      <c r="L1017" t="s">
        <v>107</v>
      </c>
      <c r="M1017" t="s">
        <v>450</v>
      </c>
      <c r="N1017" t="s">
        <v>400</v>
      </c>
      <c r="O1017" t="s">
        <v>450</v>
      </c>
      <c r="P1017" t="s">
        <v>400</v>
      </c>
    </row>
    <row r="1018" spans="5:18" x14ac:dyDescent="0.25">
      <c r="G1018" t="s">
        <v>40</v>
      </c>
      <c r="H1018" t="s">
        <v>30</v>
      </c>
      <c r="I1018" t="s">
        <v>237</v>
      </c>
      <c r="J1018" t="s">
        <v>59</v>
      </c>
      <c r="K1018" t="s">
        <v>272</v>
      </c>
      <c r="L1018" t="s">
        <v>108</v>
      </c>
      <c r="M1018" t="s">
        <v>451</v>
      </c>
      <c r="N1018" t="s">
        <v>401</v>
      </c>
      <c r="O1018" t="s">
        <v>451</v>
      </c>
      <c r="P1018" t="s">
        <v>401</v>
      </c>
    </row>
    <row r="1019" spans="5:18" x14ac:dyDescent="0.25">
      <c r="G1019" t="s">
        <v>41</v>
      </c>
      <c r="H1019" t="s">
        <v>33</v>
      </c>
      <c r="I1019" t="s">
        <v>238</v>
      </c>
      <c r="J1019" t="s">
        <v>75</v>
      </c>
      <c r="K1019" t="s">
        <v>273</v>
      </c>
      <c r="L1019" t="s">
        <v>109</v>
      </c>
      <c r="M1019" t="s">
        <v>452</v>
      </c>
      <c r="N1019" t="s">
        <v>388</v>
      </c>
      <c r="O1019" t="s">
        <v>452</v>
      </c>
      <c r="P1019" t="s">
        <v>388</v>
      </c>
    </row>
    <row r="1020" spans="5:18" x14ac:dyDescent="0.25">
      <c r="G1020" t="s">
        <v>42</v>
      </c>
      <c r="H1020" t="s">
        <v>34</v>
      </c>
      <c r="I1020" t="s">
        <v>239</v>
      </c>
      <c r="J1020" t="s">
        <v>76</v>
      </c>
      <c r="K1020" t="s">
        <v>274</v>
      </c>
      <c r="L1020" t="s">
        <v>110</v>
      </c>
      <c r="M1020" t="s">
        <v>453</v>
      </c>
      <c r="N1020" t="s">
        <v>395</v>
      </c>
      <c r="O1020" t="s">
        <v>453</v>
      </c>
      <c r="P1020" t="s">
        <v>395</v>
      </c>
    </row>
    <row r="1021" spans="5:18" x14ac:dyDescent="0.25">
      <c r="G1021" t="s">
        <v>43</v>
      </c>
      <c r="H1021" t="s">
        <v>35</v>
      </c>
      <c r="I1021" t="s">
        <v>240</v>
      </c>
      <c r="J1021" t="s">
        <v>79</v>
      </c>
      <c r="K1021" t="s">
        <v>275</v>
      </c>
      <c r="L1021" t="s">
        <v>111</v>
      </c>
      <c r="M1021" t="s">
        <v>454</v>
      </c>
      <c r="N1021" t="s">
        <v>393</v>
      </c>
      <c r="O1021" t="s">
        <v>454</v>
      </c>
      <c r="P1021" t="s">
        <v>393</v>
      </c>
    </row>
    <row r="1022" spans="5:18" x14ac:dyDescent="0.25">
      <c r="G1022" t="s">
        <v>44</v>
      </c>
      <c r="H1022" t="s">
        <v>36</v>
      </c>
      <c r="I1022" t="s">
        <v>241</v>
      </c>
      <c r="J1022" t="s">
        <v>80</v>
      </c>
      <c r="K1022" t="s">
        <v>276</v>
      </c>
      <c r="L1022" t="s">
        <v>112</v>
      </c>
      <c r="M1022" t="s">
        <v>455</v>
      </c>
      <c r="N1022" t="s">
        <v>390</v>
      </c>
      <c r="O1022" t="s">
        <v>455</v>
      </c>
      <c r="P1022" t="s">
        <v>390</v>
      </c>
    </row>
    <row r="1023" spans="5:18" x14ac:dyDescent="0.25">
      <c r="G1023" t="s">
        <v>45</v>
      </c>
      <c r="H1023" t="s">
        <v>37</v>
      </c>
      <c r="I1023" t="s">
        <v>242</v>
      </c>
      <c r="J1023" t="s">
        <v>81</v>
      </c>
      <c r="K1023" t="s">
        <v>277</v>
      </c>
      <c r="L1023" t="s">
        <v>113</v>
      </c>
      <c r="M1023" t="s">
        <v>456</v>
      </c>
      <c r="N1023" t="s">
        <v>389</v>
      </c>
      <c r="O1023" t="s">
        <v>456</v>
      </c>
      <c r="P1023" t="s">
        <v>389</v>
      </c>
    </row>
    <row r="1024" spans="5:18" x14ac:dyDescent="0.25">
      <c r="G1024" t="s">
        <v>46</v>
      </c>
      <c r="H1024" t="s">
        <v>38</v>
      </c>
      <c r="I1024" t="s">
        <v>243</v>
      </c>
      <c r="J1024" t="s">
        <v>83</v>
      </c>
      <c r="K1024" t="s">
        <v>278</v>
      </c>
      <c r="L1024" t="s">
        <v>114</v>
      </c>
      <c r="M1024" t="s">
        <v>457</v>
      </c>
      <c r="N1024" t="s">
        <v>391</v>
      </c>
      <c r="O1024" t="s">
        <v>457</v>
      </c>
      <c r="P1024" t="s">
        <v>391</v>
      </c>
    </row>
    <row r="1025" spans="7:16" x14ac:dyDescent="0.25">
      <c r="G1025" t="s">
        <v>47</v>
      </c>
      <c r="H1025" t="s">
        <v>31</v>
      </c>
      <c r="I1025" t="s">
        <v>244</v>
      </c>
      <c r="J1025" t="s">
        <v>84</v>
      </c>
      <c r="K1025" t="s">
        <v>279</v>
      </c>
      <c r="L1025" t="s">
        <v>57</v>
      </c>
      <c r="M1025" t="s">
        <v>458</v>
      </c>
      <c r="N1025" t="s">
        <v>392</v>
      </c>
      <c r="O1025" t="s">
        <v>458</v>
      </c>
      <c r="P1025" t="s">
        <v>392</v>
      </c>
    </row>
    <row r="1026" spans="7:16" x14ac:dyDescent="0.25">
      <c r="I1026" t="s">
        <v>245</v>
      </c>
      <c r="J1026" t="s">
        <v>82</v>
      </c>
      <c r="K1026" t="s">
        <v>280</v>
      </c>
      <c r="L1026" t="s">
        <v>115</v>
      </c>
      <c r="M1026" t="s">
        <v>459</v>
      </c>
      <c r="N1026" t="s">
        <v>394</v>
      </c>
      <c r="O1026" t="s">
        <v>459</v>
      </c>
      <c r="P1026" t="s">
        <v>394</v>
      </c>
    </row>
    <row r="1027" spans="7:16" x14ac:dyDescent="0.25">
      <c r="I1027" t="s">
        <v>246</v>
      </c>
      <c r="J1027" t="s">
        <v>85</v>
      </c>
      <c r="K1027" t="s">
        <v>281</v>
      </c>
      <c r="L1027" t="s">
        <v>116</v>
      </c>
      <c r="M1027" t="s">
        <v>460</v>
      </c>
      <c r="N1027" t="s">
        <v>396</v>
      </c>
      <c r="O1027" t="s">
        <v>460</v>
      </c>
      <c r="P1027" t="s">
        <v>396</v>
      </c>
    </row>
    <row r="1028" spans="7:16" x14ac:dyDescent="0.25">
      <c r="I1028" t="s">
        <v>247</v>
      </c>
      <c r="J1028" t="s">
        <v>86</v>
      </c>
      <c r="K1028" t="s">
        <v>282</v>
      </c>
      <c r="L1028" t="s">
        <v>117</v>
      </c>
      <c r="M1028" t="s">
        <v>461</v>
      </c>
      <c r="N1028" t="s">
        <v>397</v>
      </c>
      <c r="O1028" t="s">
        <v>461</v>
      </c>
      <c r="P1028" t="s">
        <v>397</v>
      </c>
    </row>
    <row r="1029" spans="7:16" x14ac:dyDescent="0.25">
      <c r="I1029" t="s">
        <v>248</v>
      </c>
      <c r="J1029" t="s">
        <v>87</v>
      </c>
      <c r="K1029" t="s">
        <v>283</v>
      </c>
      <c r="L1029" t="s">
        <v>118</v>
      </c>
      <c r="M1029" t="s">
        <v>462</v>
      </c>
      <c r="N1029" t="s">
        <v>398</v>
      </c>
      <c r="O1029" t="s">
        <v>462</v>
      </c>
      <c r="P1029" t="s">
        <v>398</v>
      </c>
    </row>
    <row r="1030" spans="7:16" x14ac:dyDescent="0.25">
      <c r="I1030" t="s">
        <v>249</v>
      </c>
      <c r="J1030" t="s">
        <v>61</v>
      </c>
      <c r="K1030" t="s">
        <v>284</v>
      </c>
      <c r="L1030" t="s">
        <v>119</v>
      </c>
      <c r="M1030" t="s">
        <v>563</v>
      </c>
      <c r="N1030" t="s">
        <v>564</v>
      </c>
      <c r="O1030" t="s">
        <v>563</v>
      </c>
      <c r="P1030" t="s">
        <v>564</v>
      </c>
    </row>
    <row r="1031" spans="7:16" x14ac:dyDescent="0.25">
      <c r="I1031" t="s">
        <v>250</v>
      </c>
      <c r="J1031" t="s">
        <v>89</v>
      </c>
      <c r="K1031" t="s">
        <v>285</v>
      </c>
      <c r="L1031" t="s">
        <v>120</v>
      </c>
    </row>
    <row r="1032" spans="7:16" x14ac:dyDescent="0.25">
      <c r="I1032" t="s">
        <v>251</v>
      </c>
      <c r="J1032" t="s">
        <v>90</v>
      </c>
      <c r="K1032" t="s">
        <v>286</v>
      </c>
      <c r="L1032" t="s">
        <v>121</v>
      </c>
    </row>
    <row r="1033" spans="7:16" x14ac:dyDescent="0.25">
      <c r="I1033" t="s">
        <v>252</v>
      </c>
      <c r="J1033" t="s">
        <v>88</v>
      </c>
      <c r="K1033" t="s">
        <v>287</v>
      </c>
      <c r="L1033" t="s">
        <v>122</v>
      </c>
    </row>
    <row r="1034" spans="7:16" x14ac:dyDescent="0.25">
      <c r="I1034" t="s">
        <v>253</v>
      </c>
      <c r="J1034" t="s">
        <v>91</v>
      </c>
      <c r="K1034" t="s">
        <v>288</v>
      </c>
      <c r="L1034" t="s">
        <v>123</v>
      </c>
    </row>
    <row r="1035" spans="7:16" x14ac:dyDescent="0.25">
      <c r="I1035" t="s">
        <v>254</v>
      </c>
      <c r="J1035" t="s">
        <v>208</v>
      </c>
      <c r="K1035" t="s">
        <v>289</v>
      </c>
      <c r="L1035" t="s">
        <v>124</v>
      </c>
    </row>
    <row r="1036" spans="7:16" x14ac:dyDescent="0.25">
      <c r="I1036" t="s">
        <v>255</v>
      </c>
      <c r="J1036" t="s">
        <v>209</v>
      </c>
      <c r="K1036" t="s">
        <v>290</v>
      </c>
      <c r="L1036" t="s">
        <v>125</v>
      </c>
    </row>
    <row r="1037" spans="7:16" x14ac:dyDescent="0.25">
      <c r="I1037" t="s">
        <v>256</v>
      </c>
      <c r="J1037" t="s">
        <v>94</v>
      </c>
      <c r="K1037" t="s">
        <v>291</v>
      </c>
      <c r="L1037" t="s">
        <v>126</v>
      </c>
    </row>
    <row r="1038" spans="7:16" x14ac:dyDescent="0.25">
      <c r="I1038" t="s">
        <v>257</v>
      </c>
      <c r="J1038" t="s">
        <v>92</v>
      </c>
      <c r="K1038" t="s">
        <v>292</v>
      </c>
      <c r="L1038" t="s">
        <v>127</v>
      </c>
    </row>
    <row r="1039" spans="7:16" x14ac:dyDescent="0.25">
      <c r="K1039" t="s">
        <v>293</v>
      </c>
      <c r="L1039" t="s">
        <v>58</v>
      </c>
    </row>
    <row r="1040" spans="7:16" x14ac:dyDescent="0.25">
      <c r="K1040" t="s">
        <v>294</v>
      </c>
      <c r="L1040" t="s">
        <v>128</v>
      </c>
    </row>
    <row r="1041" spans="11:12" x14ac:dyDescent="0.25">
      <c r="K1041" t="s">
        <v>295</v>
      </c>
      <c r="L1041" t="s">
        <v>129</v>
      </c>
    </row>
    <row r="1042" spans="11:12" x14ac:dyDescent="0.25">
      <c r="K1042" t="s">
        <v>296</v>
      </c>
      <c r="L1042" t="s">
        <v>130</v>
      </c>
    </row>
    <row r="1043" spans="11:12" x14ac:dyDescent="0.25">
      <c r="K1043" t="s">
        <v>297</v>
      </c>
      <c r="L1043" t="s">
        <v>131</v>
      </c>
    </row>
    <row r="1044" spans="11:12" x14ac:dyDescent="0.25">
      <c r="K1044" t="s">
        <v>298</v>
      </c>
      <c r="L1044" t="s">
        <v>132</v>
      </c>
    </row>
    <row r="1045" spans="11:12" x14ac:dyDescent="0.25">
      <c r="K1045" t="s">
        <v>299</v>
      </c>
      <c r="L1045" t="s">
        <v>133</v>
      </c>
    </row>
    <row r="1046" spans="11:12" x14ac:dyDescent="0.25">
      <c r="K1046" t="s">
        <v>300</v>
      </c>
      <c r="L1046" t="s">
        <v>134</v>
      </c>
    </row>
    <row r="1047" spans="11:12" x14ac:dyDescent="0.25">
      <c r="K1047" t="s">
        <v>301</v>
      </c>
      <c r="L1047" t="s">
        <v>135</v>
      </c>
    </row>
    <row r="1048" spans="11:12" x14ac:dyDescent="0.25">
      <c r="K1048" t="s">
        <v>302</v>
      </c>
      <c r="L1048" t="s">
        <v>69</v>
      </c>
    </row>
    <row r="1049" spans="11:12" x14ac:dyDescent="0.25">
      <c r="K1049" t="s">
        <v>303</v>
      </c>
      <c r="L1049" t="s">
        <v>136</v>
      </c>
    </row>
    <row r="1050" spans="11:12" x14ac:dyDescent="0.25">
      <c r="K1050" t="s">
        <v>304</v>
      </c>
      <c r="L1050" t="s">
        <v>137</v>
      </c>
    </row>
    <row r="1051" spans="11:12" x14ac:dyDescent="0.25">
      <c r="K1051" t="s">
        <v>305</v>
      </c>
      <c r="L1051" t="s">
        <v>138</v>
      </c>
    </row>
    <row r="1052" spans="11:12" x14ac:dyDescent="0.25">
      <c r="K1052" t="s">
        <v>306</v>
      </c>
      <c r="L1052" t="s">
        <v>139</v>
      </c>
    </row>
    <row r="1053" spans="11:12" x14ac:dyDescent="0.25">
      <c r="K1053" t="s">
        <v>307</v>
      </c>
      <c r="L1053" t="s">
        <v>140</v>
      </c>
    </row>
    <row r="1054" spans="11:12" x14ac:dyDescent="0.25">
      <c r="K1054" t="s">
        <v>308</v>
      </c>
      <c r="L1054" t="s">
        <v>141</v>
      </c>
    </row>
    <row r="1055" spans="11:12" x14ac:dyDescent="0.25">
      <c r="K1055" t="s">
        <v>309</v>
      </c>
      <c r="L1055" t="s">
        <v>142</v>
      </c>
    </row>
    <row r="1056" spans="11:12" x14ac:dyDescent="0.25">
      <c r="K1056" t="s">
        <v>310</v>
      </c>
      <c r="L1056" t="s">
        <v>78</v>
      </c>
    </row>
    <row r="1057" spans="11:12" x14ac:dyDescent="0.25">
      <c r="K1057" t="s">
        <v>311</v>
      </c>
      <c r="L1057" t="s">
        <v>77</v>
      </c>
    </row>
    <row r="1058" spans="11:12" x14ac:dyDescent="0.25">
      <c r="K1058" t="s">
        <v>312</v>
      </c>
      <c r="L1058" t="s">
        <v>143</v>
      </c>
    </row>
    <row r="1059" spans="11:12" x14ac:dyDescent="0.25">
      <c r="K1059" t="s">
        <v>313</v>
      </c>
      <c r="L1059" t="s">
        <v>144</v>
      </c>
    </row>
    <row r="1060" spans="11:12" x14ac:dyDescent="0.25">
      <c r="K1060" t="s">
        <v>314</v>
      </c>
      <c r="L1060" t="s">
        <v>145</v>
      </c>
    </row>
    <row r="1061" spans="11:12" x14ac:dyDescent="0.25">
      <c r="K1061" t="s">
        <v>315</v>
      </c>
      <c r="L1061" t="s">
        <v>146</v>
      </c>
    </row>
    <row r="1062" spans="11:12" x14ac:dyDescent="0.25">
      <c r="K1062" t="s">
        <v>316</v>
      </c>
      <c r="L1062" t="s">
        <v>147</v>
      </c>
    </row>
    <row r="1063" spans="11:12" x14ac:dyDescent="0.25">
      <c r="K1063" t="s">
        <v>317</v>
      </c>
      <c r="L1063" t="s">
        <v>148</v>
      </c>
    </row>
    <row r="1064" spans="11:12" x14ac:dyDescent="0.25">
      <c r="K1064" t="s">
        <v>318</v>
      </c>
      <c r="L1064" t="s">
        <v>93</v>
      </c>
    </row>
    <row r="1065" spans="11:12" x14ac:dyDescent="0.25">
      <c r="K1065" t="s">
        <v>319</v>
      </c>
      <c r="L1065" t="s">
        <v>149</v>
      </c>
    </row>
    <row r="1066" spans="11:12" x14ac:dyDescent="0.25">
      <c r="K1066" t="s">
        <v>320</v>
      </c>
      <c r="L1066" t="s">
        <v>72</v>
      </c>
    </row>
    <row r="1067" spans="11:12" x14ac:dyDescent="0.25">
      <c r="K1067" t="s">
        <v>321</v>
      </c>
      <c r="L1067" t="s">
        <v>150</v>
      </c>
    </row>
    <row r="1068" spans="11:12" x14ac:dyDescent="0.25">
      <c r="K1068" t="s">
        <v>322</v>
      </c>
      <c r="L1068" t="s">
        <v>151</v>
      </c>
    </row>
    <row r="1069" spans="11:12" x14ac:dyDescent="0.25">
      <c r="K1069" t="s">
        <v>323</v>
      </c>
      <c r="L1069" t="s">
        <v>152</v>
      </c>
    </row>
    <row r="1070" spans="11:12" x14ac:dyDescent="0.25">
      <c r="K1070" t="s">
        <v>324</v>
      </c>
      <c r="L1070" t="s">
        <v>153</v>
      </c>
    </row>
    <row r="1071" spans="11:12" x14ac:dyDescent="0.25">
      <c r="K1071" t="s">
        <v>325</v>
      </c>
      <c r="L1071" t="s">
        <v>154</v>
      </c>
    </row>
    <row r="1072" spans="11:12" x14ac:dyDescent="0.25">
      <c r="K1072" t="s">
        <v>326</v>
      </c>
      <c r="L1072" t="s">
        <v>155</v>
      </c>
    </row>
    <row r="1073" spans="11:12" x14ac:dyDescent="0.25">
      <c r="K1073" t="s">
        <v>327</v>
      </c>
      <c r="L1073" t="s">
        <v>156</v>
      </c>
    </row>
    <row r="1074" spans="11:12" x14ac:dyDescent="0.25">
      <c r="K1074" t="s">
        <v>328</v>
      </c>
      <c r="L1074" t="s">
        <v>157</v>
      </c>
    </row>
    <row r="1075" spans="11:12" x14ac:dyDescent="0.25">
      <c r="K1075" t="s">
        <v>329</v>
      </c>
      <c r="L1075" t="s">
        <v>158</v>
      </c>
    </row>
    <row r="1076" spans="11:12" x14ac:dyDescent="0.25">
      <c r="K1076" t="s">
        <v>330</v>
      </c>
      <c r="L1076" t="s">
        <v>159</v>
      </c>
    </row>
    <row r="1077" spans="11:12" x14ac:dyDescent="0.25">
      <c r="K1077" t="s">
        <v>331</v>
      </c>
      <c r="L1077" t="s">
        <v>160</v>
      </c>
    </row>
    <row r="1078" spans="11:12" x14ac:dyDescent="0.25">
      <c r="K1078" t="s">
        <v>332</v>
      </c>
      <c r="L1078" t="s">
        <v>161</v>
      </c>
    </row>
    <row r="1079" spans="11:12" x14ac:dyDescent="0.25">
      <c r="K1079" t="s">
        <v>333</v>
      </c>
      <c r="L1079" t="s">
        <v>162</v>
      </c>
    </row>
    <row r="1080" spans="11:12" x14ac:dyDescent="0.25">
      <c r="K1080" t="s">
        <v>334</v>
      </c>
      <c r="L1080" t="s">
        <v>163</v>
      </c>
    </row>
    <row r="1081" spans="11:12" x14ac:dyDescent="0.25">
      <c r="K1081" t="s">
        <v>335</v>
      </c>
      <c r="L1081" t="s">
        <v>164</v>
      </c>
    </row>
    <row r="1082" spans="11:12" x14ac:dyDescent="0.25">
      <c r="K1082" t="s">
        <v>336</v>
      </c>
      <c r="L1082" t="s">
        <v>165</v>
      </c>
    </row>
    <row r="1083" spans="11:12" x14ac:dyDescent="0.25">
      <c r="K1083" t="s">
        <v>337</v>
      </c>
      <c r="L1083" t="s">
        <v>166</v>
      </c>
    </row>
    <row r="1084" spans="11:12" x14ac:dyDescent="0.25">
      <c r="K1084" t="s">
        <v>338</v>
      </c>
      <c r="L1084" t="s">
        <v>167</v>
      </c>
    </row>
    <row r="1085" spans="11:12" x14ac:dyDescent="0.25">
      <c r="K1085" t="s">
        <v>339</v>
      </c>
      <c r="L1085" t="s">
        <v>168</v>
      </c>
    </row>
    <row r="1086" spans="11:12" x14ac:dyDescent="0.25">
      <c r="K1086" t="s">
        <v>340</v>
      </c>
      <c r="L1086" t="s">
        <v>169</v>
      </c>
    </row>
    <row r="1087" spans="11:12" x14ac:dyDescent="0.25">
      <c r="K1087" t="s">
        <v>341</v>
      </c>
      <c r="L1087" t="s">
        <v>170</v>
      </c>
    </row>
    <row r="1088" spans="11:12" x14ac:dyDescent="0.25">
      <c r="K1088" t="s">
        <v>342</v>
      </c>
      <c r="L1088" t="s">
        <v>171</v>
      </c>
    </row>
    <row r="1089" spans="11:12" x14ac:dyDescent="0.25">
      <c r="K1089" t="s">
        <v>343</v>
      </c>
      <c r="L1089" t="s">
        <v>172</v>
      </c>
    </row>
    <row r="1090" spans="11:12" x14ac:dyDescent="0.25">
      <c r="K1090" t="s">
        <v>344</v>
      </c>
      <c r="L1090" t="s">
        <v>173</v>
      </c>
    </row>
    <row r="1091" spans="11:12" x14ac:dyDescent="0.25">
      <c r="K1091" t="s">
        <v>345</v>
      </c>
      <c r="L1091" t="s">
        <v>174</v>
      </c>
    </row>
    <row r="1092" spans="11:12" x14ac:dyDescent="0.25">
      <c r="K1092" t="s">
        <v>346</v>
      </c>
      <c r="L1092" t="s">
        <v>175</v>
      </c>
    </row>
    <row r="1093" spans="11:12" x14ac:dyDescent="0.25">
      <c r="K1093" t="s">
        <v>347</v>
      </c>
      <c r="L1093" t="s">
        <v>60</v>
      </c>
    </row>
    <row r="1094" spans="11:12" x14ac:dyDescent="0.25">
      <c r="K1094" t="s">
        <v>348</v>
      </c>
      <c r="L1094" t="s">
        <v>176</v>
      </c>
    </row>
    <row r="1095" spans="11:12" x14ac:dyDescent="0.25">
      <c r="K1095" t="s">
        <v>349</v>
      </c>
      <c r="L1095" t="s">
        <v>177</v>
      </c>
    </row>
    <row r="1096" spans="11:12" x14ac:dyDescent="0.25">
      <c r="K1096" t="s">
        <v>350</v>
      </c>
      <c r="L1096" t="s">
        <v>178</v>
      </c>
    </row>
    <row r="1097" spans="11:12" x14ac:dyDescent="0.25">
      <c r="K1097" t="s">
        <v>351</v>
      </c>
      <c r="L1097" t="s">
        <v>179</v>
      </c>
    </row>
    <row r="1098" spans="11:12" x14ac:dyDescent="0.25">
      <c r="K1098" t="s">
        <v>352</v>
      </c>
      <c r="L1098" t="s">
        <v>180</v>
      </c>
    </row>
    <row r="1099" spans="11:12" x14ac:dyDescent="0.25">
      <c r="K1099" t="s">
        <v>353</v>
      </c>
      <c r="L1099" t="s">
        <v>181</v>
      </c>
    </row>
    <row r="1100" spans="11:12" x14ac:dyDescent="0.25">
      <c r="K1100" t="s">
        <v>354</v>
      </c>
      <c r="L1100" t="s">
        <v>182</v>
      </c>
    </row>
    <row r="1101" spans="11:12" x14ac:dyDescent="0.25">
      <c r="K1101" t="s">
        <v>355</v>
      </c>
      <c r="L1101" t="s">
        <v>183</v>
      </c>
    </row>
    <row r="1102" spans="11:12" x14ac:dyDescent="0.25">
      <c r="K1102" t="s">
        <v>356</v>
      </c>
      <c r="L1102" t="s">
        <v>184</v>
      </c>
    </row>
    <row r="1103" spans="11:12" x14ac:dyDescent="0.25">
      <c r="K1103" t="s">
        <v>357</v>
      </c>
      <c r="L1103" t="s">
        <v>185</v>
      </c>
    </row>
    <row r="1104" spans="11:12" x14ac:dyDescent="0.25">
      <c r="K1104" t="s">
        <v>358</v>
      </c>
      <c r="L1104" t="s">
        <v>186</v>
      </c>
    </row>
    <row r="1105" spans="11:12" x14ac:dyDescent="0.25">
      <c r="K1105" t="s">
        <v>359</v>
      </c>
      <c r="L1105" t="s">
        <v>187</v>
      </c>
    </row>
    <row r="1106" spans="11:12" x14ac:dyDescent="0.25">
      <c r="K1106" t="s">
        <v>360</v>
      </c>
      <c r="L1106" t="s">
        <v>188</v>
      </c>
    </row>
    <row r="1107" spans="11:12" x14ac:dyDescent="0.25">
      <c r="K1107" t="s">
        <v>361</v>
      </c>
      <c r="L1107" t="s">
        <v>189</v>
      </c>
    </row>
    <row r="1108" spans="11:12" x14ac:dyDescent="0.25">
      <c r="K1108" t="s">
        <v>362</v>
      </c>
      <c r="L1108" t="s">
        <v>190</v>
      </c>
    </row>
    <row r="1109" spans="11:12" x14ac:dyDescent="0.25">
      <c r="K1109" t="s">
        <v>363</v>
      </c>
      <c r="L1109" t="s">
        <v>191</v>
      </c>
    </row>
    <row r="1110" spans="11:12" x14ac:dyDescent="0.25">
      <c r="K1110" t="s">
        <v>364</v>
      </c>
      <c r="L1110" t="s">
        <v>192</v>
      </c>
    </row>
    <row r="1111" spans="11:12" x14ac:dyDescent="0.25">
      <c r="K1111" t="s">
        <v>365</v>
      </c>
      <c r="L1111" t="s">
        <v>193</v>
      </c>
    </row>
    <row r="1112" spans="11:12" x14ac:dyDescent="0.25">
      <c r="K1112" t="s">
        <v>366</v>
      </c>
      <c r="L1112" t="s">
        <v>194</v>
      </c>
    </row>
    <row r="1113" spans="11:12" x14ac:dyDescent="0.25">
      <c r="K1113" t="s">
        <v>367</v>
      </c>
      <c r="L1113" t="s">
        <v>26</v>
      </c>
    </row>
    <row r="1114" spans="11:12" x14ac:dyDescent="0.25">
      <c r="K1114" t="s">
        <v>368</v>
      </c>
      <c r="L1114" t="s">
        <v>195</v>
      </c>
    </row>
    <row r="1115" spans="11:12" x14ac:dyDescent="0.25">
      <c r="K1115" t="s">
        <v>369</v>
      </c>
      <c r="L1115" t="s">
        <v>196</v>
      </c>
    </row>
    <row r="1116" spans="11:12" x14ac:dyDescent="0.25">
      <c r="K1116" t="s">
        <v>370</v>
      </c>
      <c r="L1116" t="s">
        <v>197</v>
      </c>
    </row>
    <row r="1117" spans="11:12" x14ac:dyDescent="0.25">
      <c r="K1117" t="s">
        <v>371</v>
      </c>
      <c r="L1117" t="s">
        <v>198</v>
      </c>
    </row>
    <row r="1118" spans="11:12" x14ac:dyDescent="0.25">
      <c r="K1118" t="s">
        <v>372</v>
      </c>
      <c r="L1118" t="s">
        <v>199</v>
      </c>
    </row>
    <row r="1119" spans="11:12" x14ac:dyDescent="0.25">
      <c r="K1119" t="s">
        <v>373</v>
      </c>
      <c r="L1119" t="s">
        <v>200</v>
      </c>
    </row>
    <row r="1120" spans="11:12" x14ac:dyDescent="0.25">
      <c r="K1120" t="s">
        <v>374</v>
      </c>
      <c r="L1120" t="s">
        <v>201</v>
      </c>
    </row>
    <row r="1121" spans="11:12" x14ac:dyDescent="0.25">
      <c r="K1121" t="s">
        <v>375</v>
      </c>
      <c r="L1121" t="s">
        <v>202</v>
      </c>
    </row>
    <row r="1122" spans="11:12" x14ac:dyDescent="0.25">
      <c r="K1122" t="s">
        <v>376</v>
      </c>
      <c r="L1122" t="s">
        <v>203</v>
      </c>
    </row>
    <row r="1123" spans="11:12" x14ac:dyDescent="0.25">
      <c r="K1123" t="s">
        <v>377</v>
      </c>
      <c r="L1123" t="s">
        <v>204</v>
      </c>
    </row>
    <row r="1124" spans="11:12" x14ac:dyDescent="0.25">
      <c r="K1124" t="s">
        <v>378</v>
      </c>
      <c r="L1124" t="s">
        <v>205</v>
      </c>
    </row>
    <row r="1125" spans="11:12" x14ac:dyDescent="0.25">
      <c r="K1125" t="s">
        <v>379</v>
      </c>
      <c r="L1125" t="s">
        <v>206</v>
      </c>
    </row>
    <row r="1126" spans="11:12" x14ac:dyDescent="0.25">
      <c r="K1126" t="s">
        <v>380</v>
      </c>
      <c r="L1126" t="s">
        <v>207</v>
      </c>
    </row>
    <row r="1127" spans="11:12" x14ac:dyDescent="0.25">
      <c r="K1127" t="s">
        <v>381</v>
      </c>
      <c r="L1127" t="s">
        <v>95</v>
      </c>
    </row>
  </sheetData>
  <dataValidations count="22">
    <dataValidation type="list" allowBlank="1" showInputMessage="1" showErrorMessage="1" sqref="N40:N54" xr:uid="{00000000-0002-0000-0200-000000000000}">
      <formula1>$P$1005:$P$1030</formula1>
    </dataValidation>
    <dataValidation type="list" allowBlank="1" showInputMessage="1" showErrorMessage="1" sqref="J47:J49 J63:J65 J52:J53" xr:uid="{00000000-0002-0000-0200-000001000000}">
      <formula1>$R$1004:$R$1007</formula1>
    </dataValidation>
    <dataValidation type="list" allowBlank="1" showInputMessage="1" showErrorMessage="1" sqref="K66" xr:uid="{00000000-0002-0000-0200-000002000000}">
      <formula1>$M$988:$M$1014</formula1>
    </dataValidation>
    <dataValidation type="list" allowBlank="1" showInputMessage="1" showErrorMessage="1" sqref="L66" xr:uid="{00000000-0002-0000-0200-000003000000}">
      <formula1>$N$988:$N$1014</formula1>
    </dataValidation>
    <dataValidation type="list" allowBlank="1" showInputMessage="1" showErrorMessage="1" sqref="J66" xr:uid="{00000000-0002-0000-0200-000004000000}">
      <formula1>$R$988:$R$992</formula1>
    </dataValidation>
    <dataValidation type="list" allowBlank="1" showInputMessage="1" showErrorMessage="1" sqref="N2:N6 N26:N39 N15:N23 N10:N11 N8" xr:uid="{00000000-0002-0000-0200-000005000000}">
      <formula1>$P$1004:$P$1029</formula1>
    </dataValidation>
    <dataValidation type="list" allowBlank="1" showInputMessage="1" showErrorMessage="1" sqref="M2:M6 M26:M38 M15:M23 M10:M11 M8" xr:uid="{00000000-0002-0000-0200-000006000000}">
      <formula1>$O$1004:$O$1029</formula1>
    </dataValidation>
    <dataValidation type="list" allowBlank="1" showInputMessage="1" showErrorMessage="1" sqref="K67:K1000 K39:K65" xr:uid="{00000000-0002-0000-0200-000007000000}">
      <formula1>$M$1004:$M$1030</formula1>
    </dataValidation>
    <dataValidation type="list" allowBlank="1" showInputMessage="1" showErrorMessage="1" sqref="L67:L1000 L40:L65" xr:uid="{00000000-0002-0000-0200-000008000000}">
      <formula1>$N$1004:$N$1030</formula1>
    </dataValidation>
    <dataValidation type="list" allowBlank="1" showInputMessage="1" showErrorMessage="1" sqref="M39:M1000 M7 M9 M12:M14" xr:uid="{00000000-0002-0000-0200-000009000000}">
      <formula1>$O$1004:$O$1030</formula1>
    </dataValidation>
    <dataValidation type="list" allowBlank="1" showInputMessage="1" showErrorMessage="1" sqref="N55:N1002 N7 N9 N12:N14" xr:uid="{00000000-0002-0000-0200-00000A000000}">
      <formula1>$P$1004:$P$1030</formula1>
    </dataValidation>
    <dataValidation type="list" allowBlank="1" showInputMessage="1" showErrorMessage="1" sqref="J67:J1001" xr:uid="{00000000-0002-0000-0200-00000B000000}">
      <formula1>$R$1004:$R$1008</formula1>
    </dataValidation>
    <dataValidation type="list" allowBlank="1" showInputMessage="1" showErrorMessage="1" sqref="L2:L23 L26:L39" xr:uid="{00000000-0002-0000-0200-00000C000000}">
      <formula1>$N$1004:$N$1029</formula1>
    </dataValidation>
    <dataValidation type="list" allowBlank="1" showInputMessage="1" showErrorMessage="1" sqref="K2:K23 K26:K38" xr:uid="{00000000-0002-0000-0200-00000D000000}">
      <formula1>$M$1004:$M$1029</formula1>
    </dataValidation>
    <dataValidation type="list" allowBlank="1" showInputMessage="1" showErrorMessage="1" sqref="J27:J28 J41 J18:J19 J43:J46 J31:J39 J16 J13 J8:J11 J2 J4" xr:uid="{00000000-0002-0000-0200-00000E000000}">
      <formula1>$R$1004:$R$1006</formula1>
    </dataValidation>
    <dataValidation type="list" allowBlank="1" showInputMessage="1" showErrorMessage="1" sqref="J17 J40 J42 J50 J29:J30 J20:J26" xr:uid="{00000000-0002-0000-0200-00000F000000}">
      <formula1>$R$1004:$R$1009</formula1>
    </dataValidation>
    <dataValidation type="list" allowBlank="1" showInputMessage="1" showErrorMessage="1" sqref="N24:N25" xr:uid="{00000000-0002-0000-0200-000010000000}">
      <formula1>$P$1002:$P$1027</formula1>
    </dataValidation>
    <dataValidation type="list" allowBlank="1" showInputMessage="1" showErrorMessage="1" sqref="M24:M25" xr:uid="{00000000-0002-0000-0200-000011000000}">
      <formula1>$O$1002:$O$1027</formula1>
    </dataValidation>
    <dataValidation type="list" allowBlank="1" showInputMessage="1" showErrorMessage="1" sqref="L24:L25" xr:uid="{00000000-0002-0000-0200-000012000000}">
      <formula1>$N$1002:$N$1027</formula1>
    </dataValidation>
    <dataValidation type="list" allowBlank="1" showInputMessage="1" showErrorMessage="1" sqref="K24:K25" xr:uid="{00000000-0002-0000-0200-000013000000}">
      <formula1>$M$1002:$M$1027</formula1>
    </dataValidation>
    <dataValidation type="list" allowBlank="1" showInputMessage="1" showErrorMessage="1" sqref="J14:J15 J12 J5:J7 J3" xr:uid="{00000000-0002-0000-0200-000015000000}">
      <formula1>$R$1004:$R$1010</formula1>
    </dataValidation>
    <dataValidation type="list" allowBlank="1" showInputMessage="1" showErrorMessage="1" sqref="J54:J62 J51" xr:uid="{00000000-0002-0000-0200-000016000000}">
      <formula1>$R$1004:$R$1011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1116"/>
  <sheetViews>
    <sheetView workbookViewId="0">
      <pane xSplit="8370" ySplit="600" topLeftCell="S28" activePane="bottomLeft"/>
      <selection activeCell="T2" sqref="T2"/>
      <selection pane="topRight" activeCell="T2" sqref="T2"/>
      <selection pane="bottomLeft" activeCell="T2" sqref="T2"/>
      <selection pane="bottomRight" activeCell="T2" sqref="T2"/>
    </sheetView>
  </sheetViews>
  <sheetFormatPr defaultRowHeight="15" x14ac:dyDescent="0.25"/>
  <cols>
    <col min="1" max="1" width="6.7109375" customWidth="1"/>
    <col min="2" max="2" width="8.5703125" customWidth="1"/>
    <col min="3" max="3" width="7.85546875" customWidth="1"/>
    <col min="4" max="4" width="16.85546875" customWidth="1"/>
    <col min="5" max="5" width="7.7109375" customWidth="1"/>
    <col min="6" max="6" width="12.7109375" customWidth="1"/>
    <col min="7" max="7" width="14.85546875" customWidth="1"/>
    <col min="8" max="8" width="7.42578125" customWidth="1"/>
    <col min="9" max="10" width="9.85546875" customWidth="1"/>
    <col min="11" max="11" width="25.28515625" customWidth="1"/>
    <col min="12" max="12" width="9.140625" customWidth="1"/>
    <col min="13" max="13" width="22.85546875" customWidth="1"/>
    <col min="14" max="14" width="9.85546875" customWidth="1"/>
    <col min="15" max="16" width="6.42578125" customWidth="1"/>
    <col min="17" max="18" width="34.5703125" customWidth="1"/>
    <col min="19" max="19" width="23" customWidth="1"/>
    <col min="20" max="20" width="19.5703125" customWidth="1"/>
  </cols>
  <sheetData>
    <row r="1" spans="1:20" x14ac:dyDescent="0.25">
      <c r="A1" s="1" t="s">
        <v>414</v>
      </c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432</v>
      </c>
      <c r="K1" s="1" t="s">
        <v>426</v>
      </c>
      <c r="L1" s="1" t="s">
        <v>425</v>
      </c>
      <c r="M1" s="1" t="s">
        <v>427</v>
      </c>
      <c r="N1" s="1" t="s">
        <v>428</v>
      </c>
      <c r="O1" s="1" t="s">
        <v>429</v>
      </c>
      <c r="P1" s="1" t="s">
        <v>430</v>
      </c>
      <c r="Q1" s="1" t="s">
        <v>472</v>
      </c>
      <c r="R1" s="1" t="s">
        <v>431</v>
      </c>
      <c r="S1" s="1" t="s">
        <v>423</v>
      </c>
      <c r="T1" s="1" t="s">
        <v>424</v>
      </c>
    </row>
    <row r="2" spans="1:20" s="3" customFormat="1" x14ac:dyDescent="0.25">
      <c r="A2" s="3" t="s">
        <v>717</v>
      </c>
      <c r="B2" s="3" t="s">
        <v>517</v>
      </c>
      <c r="C2" s="3" t="s">
        <v>523</v>
      </c>
      <c r="J2" s="3" t="s">
        <v>702</v>
      </c>
      <c r="K2" s="3" t="s">
        <v>443</v>
      </c>
      <c r="L2" s="3" t="s">
        <v>405</v>
      </c>
      <c r="M2" s="3" t="s">
        <v>451</v>
      </c>
      <c r="N2" s="3" t="s">
        <v>401</v>
      </c>
      <c r="Q2" s="3" t="s">
        <v>532</v>
      </c>
      <c r="R2" s="3" t="s">
        <v>845</v>
      </c>
      <c r="S2" s="3" t="s">
        <v>651</v>
      </c>
      <c r="T2" t="s">
        <v>821</v>
      </c>
    </row>
    <row r="3" spans="1:20" x14ac:dyDescent="0.25">
      <c r="A3" s="3" t="s">
        <v>717</v>
      </c>
      <c r="B3" t="s">
        <v>517</v>
      </c>
      <c r="C3" t="s">
        <v>523</v>
      </c>
      <c r="D3" t="s">
        <v>514</v>
      </c>
      <c r="E3" t="s">
        <v>524</v>
      </c>
      <c r="J3" t="s">
        <v>753</v>
      </c>
      <c r="K3" t="s">
        <v>443</v>
      </c>
      <c r="L3" t="s">
        <v>405</v>
      </c>
      <c r="M3" t="s">
        <v>446</v>
      </c>
      <c r="N3" t="s">
        <v>399</v>
      </c>
      <c r="Q3" t="s">
        <v>533</v>
      </c>
      <c r="R3" t="s">
        <v>771</v>
      </c>
      <c r="S3" t="s">
        <v>650</v>
      </c>
      <c r="T3" t="s">
        <v>821</v>
      </c>
    </row>
    <row r="4" spans="1:20" x14ac:dyDescent="0.25">
      <c r="A4" s="3" t="s">
        <v>717</v>
      </c>
      <c r="B4" t="s">
        <v>517</v>
      </c>
      <c r="C4" t="s">
        <v>523</v>
      </c>
      <c r="D4" t="s">
        <v>515</v>
      </c>
      <c r="E4" t="s">
        <v>525</v>
      </c>
      <c r="J4" t="s">
        <v>702</v>
      </c>
      <c r="K4" t="s">
        <v>443</v>
      </c>
      <c r="L4" t="s">
        <v>405</v>
      </c>
      <c r="M4" t="s">
        <v>451</v>
      </c>
      <c r="N4" t="s">
        <v>401</v>
      </c>
      <c r="Q4" t="s">
        <v>534</v>
      </c>
      <c r="R4" t="s">
        <v>771</v>
      </c>
      <c r="S4" t="s">
        <v>649</v>
      </c>
      <c r="T4" t="s">
        <v>821</v>
      </c>
    </row>
    <row r="5" spans="1:20" x14ac:dyDescent="0.25">
      <c r="A5" s="3" t="s">
        <v>717</v>
      </c>
      <c r="B5" t="s">
        <v>517</v>
      </c>
      <c r="C5" t="s">
        <v>523</v>
      </c>
      <c r="D5" t="s">
        <v>516</v>
      </c>
      <c r="E5" t="s">
        <v>526</v>
      </c>
      <c r="J5" t="s">
        <v>753</v>
      </c>
      <c r="K5" t="s">
        <v>443</v>
      </c>
      <c r="L5" t="s">
        <v>405</v>
      </c>
      <c r="Q5" t="s">
        <v>535</v>
      </c>
      <c r="R5" t="s">
        <v>771</v>
      </c>
      <c r="S5" t="s">
        <v>650</v>
      </c>
      <c r="T5" t="s">
        <v>821</v>
      </c>
    </row>
    <row r="6" spans="1:20" x14ac:dyDescent="0.25">
      <c r="A6" s="3" t="s">
        <v>717</v>
      </c>
      <c r="B6" t="s">
        <v>517</v>
      </c>
      <c r="C6" t="s">
        <v>523</v>
      </c>
      <c r="D6" t="s">
        <v>518</v>
      </c>
      <c r="E6" t="s">
        <v>527</v>
      </c>
      <c r="J6" t="s">
        <v>702</v>
      </c>
      <c r="K6" t="s">
        <v>451</v>
      </c>
      <c r="L6" t="s">
        <v>401</v>
      </c>
      <c r="M6" t="s">
        <v>443</v>
      </c>
      <c r="N6" t="s">
        <v>405</v>
      </c>
      <c r="Q6" t="s">
        <v>536</v>
      </c>
      <c r="R6" t="s">
        <v>771</v>
      </c>
      <c r="S6" t="s">
        <v>649</v>
      </c>
      <c r="T6" t="s">
        <v>821</v>
      </c>
    </row>
    <row r="7" spans="1:20" s="3" customFormat="1" x14ac:dyDescent="0.25">
      <c r="A7" s="3" t="s">
        <v>717</v>
      </c>
      <c r="B7" s="3" t="s">
        <v>519</v>
      </c>
      <c r="C7" s="3" t="s">
        <v>528</v>
      </c>
      <c r="J7" s="3" t="s">
        <v>702</v>
      </c>
      <c r="K7" s="3" t="s">
        <v>444</v>
      </c>
      <c r="L7" s="3" t="s">
        <v>406</v>
      </c>
      <c r="M7" s="3" t="s">
        <v>450</v>
      </c>
      <c r="N7" s="3" t="s">
        <v>400</v>
      </c>
      <c r="R7" s="3" t="s">
        <v>844</v>
      </c>
      <c r="S7" s="3" t="s">
        <v>646</v>
      </c>
      <c r="T7" t="s">
        <v>821</v>
      </c>
    </row>
    <row r="8" spans="1:20" s="3" customFormat="1" x14ac:dyDescent="0.25">
      <c r="A8" s="3" t="s">
        <v>717</v>
      </c>
      <c r="B8" s="3" t="s">
        <v>519</v>
      </c>
      <c r="C8" s="3" t="s">
        <v>528</v>
      </c>
      <c r="D8" s="3" t="s">
        <v>520</v>
      </c>
      <c r="E8" s="3" t="s">
        <v>530</v>
      </c>
      <c r="J8" s="3" t="s">
        <v>434</v>
      </c>
      <c r="K8" s="3" t="s">
        <v>444</v>
      </c>
      <c r="L8" s="3" t="s">
        <v>406</v>
      </c>
      <c r="M8" s="3" t="s">
        <v>450</v>
      </c>
      <c r="N8" s="3" t="s">
        <v>400</v>
      </c>
      <c r="Q8" s="3" t="s">
        <v>537</v>
      </c>
      <c r="R8" t="s">
        <v>771</v>
      </c>
      <c r="S8" s="3" t="s">
        <v>716</v>
      </c>
      <c r="T8" t="s">
        <v>821</v>
      </c>
    </row>
    <row r="9" spans="1:20" x14ac:dyDescent="0.25">
      <c r="A9" s="3" t="s">
        <v>717</v>
      </c>
      <c r="B9" t="s">
        <v>519</v>
      </c>
      <c r="C9" t="s">
        <v>528</v>
      </c>
      <c r="D9" t="s">
        <v>520</v>
      </c>
      <c r="E9" t="s">
        <v>530</v>
      </c>
      <c r="F9" s="2" t="s">
        <v>682</v>
      </c>
      <c r="G9" t="s">
        <v>539</v>
      </c>
      <c r="J9" t="s">
        <v>702</v>
      </c>
      <c r="K9" t="s">
        <v>443</v>
      </c>
      <c r="L9" t="s">
        <v>405</v>
      </c>
      <c r="Q9" s="3" t="s">
        <v>749</v>
      </c>
      <c r="R9" t="s">
        <v>771</v>
      </c>
      <c r="S9" t="s">
        <v>647</v>
      </c>
      <c r="T9" t="s">
        <v>821</v>
      </c>
    </row>
    <row r="10" spans="1:20" x14ac:dyDescent="0.25">
      <c r="A10" s="3" t="s">
        <v>717</v>
      </c>
      <c r="B10" t="s">
        <v>519</v>
      </c>
      <c r="C10" t="s">
        <v>528</v>
      </c>
      <c r="D10" t="s">
        <v>713</v>
      </c>
      <c r="E10" t="s">
        <v>714</v>
      </c>
      <c r="F10" s="2"/>
      <c r="J10" t="s">
        <v>702</v>
      </c>
      <c r="K10" t="s">
        <v>444</v>
      </c>
      <c r="L10" t="s">
        <v>406</v>
      </c>
      <c r="M10" t="s">
        <v>447</v>
      </c>
      <c r="N10" t="s">
        <v>404</v>
      </c>
      <c r="Q10" t="s">
        <v>752</v>
      </c>
      <c r="R10" t="s">
        <v>771</v>
      </c>
      <c r="S10" t="s">
        <v>716</v>
      </c>
      <c r="T10" t="s">
        <v>821</v>
      </c>
    </row>
    <row r="11" spans="1:20" s="3" customFormat="1" x14ac:dyDescent="0.25">
      <c r="A11" s="3" t="s">
        <v>717</v>
      </c>
      <c r="B11" s="3" t="s">
        <v>521</v>
      </c>
      <c r="C11" s="3" t="s">
        <v>529</v>
      </c>
      <c r="J11" s="3" t="s">
        <v>436</v>
      </c>
      <c r="K11" s="3" t="s">
        <v>443</v>
      </c>
      <c r="L11" s="3" t="s">
        <v>405</v>
      </c>
      <c r="M11" s="3" t="s">
        <v>447</v>
      </c>
      <c r="N11" s="3" t="s">
        <v>404</v>
      </c>
      <c r="R11" s="3" t="s">
        <v>843</v>
      </c>
      <c r="S11" s="3" t="s">
        <v>645</v>
      </c>
      <c r="T11" t="s">
        <v>821</v>
      </c>
    </row>
    <row r="12" spans="1:20" s="3" customFormat="1" x14ac:dyDescent="0.25">
      <c r="A12" s="3" t="s">
        <v>717</v>
      </c>
      <c r="B12" s="3" t="s">
        <v>521</v>
      </c>
      <c r="C12" s="3" t="s">
        <v>529</v>
      </c>
      <c r="D12" s="3" t="s">
        <v>522</v>
      </c>
      <c r="E12" s="3" t="s">
        <v>531</v>
      </c>
      <c r="J12" s="3" t="s">
        <v>436</v>
      </c>
      <c r="K12" s="3" t="s">
        <v>443</v>
      </c>
      <c r="L12" s="3" t="s">
        <v>405</v>
      </c>
      <c r="M12" s="3" t="s">
        <v>451</v>
      </c>
      <c r="N12" s="3" t="s">
        <v>401</v>
      </c>
      <c r="Q12" s="3" t="s">
        <v>540</v>
      </c>
      <c r="R12" t="s">
        <v>771</v>
      </c>
      <c r="S12" s="3" t="s">
        <v>645</v>
      </c>
      <c r="T12" t="s">
        <v>821</v>
      </c>
    </row>
    <row r="13" spans="1:20" x14ac:dyDescent="0.25">
      <c r="A13" s="3" t="s">
        <v>717</v>
      </c>
      <c r="B13" t="s">
        <v>387</v>
      </c>
      <c r="C13" t="s">
        <v>154</v>
      </c>
      <c r="J13" t="s">
        <v>436</v>
      </c>
      <c r="K13" t="s">
        <v>442</v>
      </c>
      <c r="L13" t="s">
        <v>408</v>
      </c>
      <c r="M13" t="s">
        <v>461</v>
      </c>
      <c r="N13" t="s">
        <v>397</v>
      </c>
      <c r="R13" t="s">
        <v>842</v>
      </c>
      <c r="S13" t="s">
        <v>648</v>
      </c>
      <c r="T13" t="s">
        <v>821</v>
      </c>
    </row>
    <row r="14" spans="1:20" x14ac:dyDescent="0.25">
      <c r="A14" s="3" t="s">
        <v>717</v>
      </c>
      <c r="B14" t="s">
        <v>387</v>
      </c>
      <c r="C14" t="s">
        <v>154</v>
      </c>
      <c r="D14" t="s">
        <v>541</v>
      </c>
      <c r="E14" t="s">
        <v>550</v>
      </c>
      <c r="J14" t="s">
        <v>434</v>
      </c>
      <c r="K14" t="s">
        <v>442</v>
      </c>
      <c r="L14" t="s">
        <v>408</v>
      </c>
      <c r="M14" t="s">
        <v>461</v>
      </c>
      <c r="N14" t="s">
        <v>397</v>
      </c>
      <c r="Q14" t="s">
        <v>559</v>
      </c>
      <c r="R14" t="s">
        <v>771</v>
      </c>
      <c r="S14" t="s">
        <v>648</v>
      </c>
      <c r="T14" t="s">
        <v>821</v>
      </c>
    </row>
    <row r="15" spans="1:20" x14ac:dyDescent="0.25">
      <c r="A15" s="3" t="s">
        <v>717</v>
      </c>
      <c r="B15" t="s">
        <v>387</v>
      </c>
      <c r="C15" t="s">
        <v>154</v>
      </c>
      <c r="D15" t="s">
        <v>542</v>
      </c>
      <c r="E15" t="s">
        <v>552</v>
      </c>
      <c r="J15" t="s">
        <v>434</v>
      </c>
      <c r="K15" t="s">
        <v>442</v>
      </c>
      <c r="L15" t="s">
        <v>408</v>
      </c>
      <c r="M15" t="s">
        <v>461</v>
      </c>
      <c r="N15" t="s">
        <v>397</v>
      </c>
      <c r="R15" t="s">
        <v>771</v>
      </c>
      <c r="S15" t="s">
        <v>648</v>
      </c>
      <c r="T15" t="s">
        <v>821</v>
      </c>
    </row>
    <row r="16" spans="1:20" x14ac:dyDescent="0.25">
      <c r="A16" s="3" t="s">
        <v>717</v>
      </c>
      <c r="B16" t="s">
        <v>387</v>
      </c>
      <c r="C16" t="s">
        <v>154</v>
      </c>
      <c r="D16" t="s">
        <v>543</v>
      </c>
      <c r="E16" t="s">
        <v>551</v>
      </c>
      <c r="J16" t="s">
        <v>434</v>
      </c>
      <c r="K16" t="s">
        <v>442</v>
      </c>
      <c r="L16" t="s">
        <v>408</v>
      </c>
      <c r="M16" t="s">
        <v>461</v>
      </c>
      <c r="N16" t="s">
        <v>397</v>
      </c>
      <c r="Q16" t="s">
        <v>560</v>
      </c>
      <c r="R16" t="s">
        <v>771</v>
      </c>
      <c r="S16" t="s">
        <v>648</v>
      </c>
      <c r="T16" t="s">
        <v>821</v>
      </c>
    </row>
    <row r="17" spans="1:20" x14ac:dyDescent="0.25">
      <c r="A17" s="3" t="s">
        <v>717</v>
      </c>
      <c r="B17" t="s">
        <v>387</v>
      </c>
      <c r="C17" t="s">
        <v>154</v>
      </c>
      <c r="D17" t="s">
        <v>544</v>
      </c>
      <c r="E17" t="s">
        <v>553</v>
      </c>
      <c r="J17" t="s">
        <v>434</v>
      </c>
      <c r="K17" t="s">
        <v>442</v>
      </c>
      <c r="L17" t="s">
        <v>408</v>
      </c>
      <c r="M17" t="s">
        <v>461</v>
      </c>
      <c r="N17" t="s">
        <v>397</v>
      </c>
      <c r="Q17" t="s">
        <v>561</v>
      </c>
      <c r="R17" t="s">
        <v>771</v>
      </c>
      <c r="S17" t="s">
        <v>648</v>
      </c>
      <c r="T17" t="s">
        <v>821</v>
      </c>
    </row>
    <row r="18" spans="1:20" x14ac:dyDescent="0.25">
      <c r="A18" s="3" t="s">
        <v>717</v>
      </c>
      <c r="B18" t="s">
        <v>387</v>
      </c>
      <c r="C18" t="s">
        <v>154</v>
      </c>
      <c r="D18" t="s">
        <v>545</v>
      </c>
      <c r="E18" t="s">
        <v>554</v>
      </c>
      <c r="J18" t="s">
        <v>434</v>
      </c>
      <c r="K18" t="s">
        <v>442</v>
      </c>
      <c r="L18" t="s">
        <v>408</v>
      </c>
      <c r="M18" t="s">
        <v>461</v>
      </c>
      <c r="N18" t="s">
        <v>397</v>
      </c>
      <c r="Q18" t="s">
        <v>562</v>
      </c>
      <c r="R18" t="s">
        <v>771</v>
      </c>
      <c r="S18" t="s">
        <v>648</v>
      </c>
      <c r="T18" t="s">
        <v>821</v>
      </c>
    </row>
    <row r="19" spans="1:20" x14ac:dyDescent="0.25">
      <c r="A19" s="3" t="s">
        <v>717</v>
      </c>
      <c r="B19" t="s">
        <v>387</v>
      </c>
      <c r="C19" t="s">
        <v>154</v>
      </c>
      <c r="D19" t="s">
        <v>546</v>
      </c>
      <c r="E19" t="s">
        <v>555</v>
      </c>
      <c r="J19" t="s">
        <v>434</v>
      </c>
      <c r="K19" t="s">
        <v>442</v>
      </c>
      <c r="L19" t="s">
        <v>408</v>
      </c>
      <c r="M19" t="s">
        <v>563</v>
      </c>
      <c r="N19" t="s">
        <v>397</v>
      </c>
      <c r="Q19" t="s">
        <v>565</v>
      </c>
      <c r="R19" t="s">
        <v>771</v>
      </c>
      <c r="S19" t="s">
        <v>648</v>
      </c>
      <c r="T19" t="s">
        <v>821</v>
      </c>
    </row>
    <row r="20" spans="1:20" x14ac:dyDescent="0.25">
      <c r="A20" s="3" t="s">
        <v>717</v>
      </c>
      <c r="B20" t="s">
        <v>387</v>
      </c>
      <c r="C20" t="s">
        <v>154</v>
      </c>
      <c r="D20" t="s">
        <v>547</v>
      </c>
      <c r="E20" t="s">
        <v>556</v>
      </c>
      <c r="J20" t="s">
        <v>702</v>
      </c>
      <c r="K20" t="s">
        <v>442</v>
      </c>
      <c r="L20" t="s">
        <v>408</v>
      </c>
      <c r="M20" t="s">
        <v>563</v>
      </c>
      <c r="N20" t="s">
        <v>564</v>
      </c>
      <c r="Q20" t="s">
        <v>566</v>
      </c>
      <c r="R20" t="s">
        <v>771</v>
      </c>
      <c r="S20" t="s">
        <v>648</v>
      </c>
      <c r="T20" t="s">
        <v>821</v>
      </c>
    </row>
    <row r="21" spans="1:20" x14ac:dyDescent="0.25">
      <c r="A21" s="3" t="s">
        <v>717</v>
      </c>
      <c r="B21" t="s">
        <v>387</v>
      </c>
      <c r="C21" t="s">
        <v>154</v>
      </c>
      <c r="D21" t="s">
        <v>547</v>
      </c>
      <c r="E21" t="s">
        <v>556</v>
      </c>
      <c r="F21" t="s">
        <v>567</v>
      </c>
      <c r="G21" t="s">
        <v>569</v>
      </c>
      <c r="J21" t="s">
        <v>434</v>
      </c>
      <c r="K21" t="s">
        <v>442</v>
      </c>
      <c r="L21" t="s">
        <v>408</v>
      </c>
      <c r="R21" t="s">
        <v>771</v>
      </c>
      <c r="S21" t="s">
        <v>648</v>
      </c>
      <c r="T21" t="s">
        <v>821</v>
      </c>
    </row>
    <row r="22" spans="1:20" x14ac:dyDescent="0.25">
      <c r="A22" s="3" t="s">
        <v>717</v>
      </c>
      <c r="B22" t="s">
        <v>387</v>
      </c>
      <c r="C22" t="s">
        <v>154</v>
      </c>
      <c r="D22" t="s">
        <v>547</v>
      </c>
      <c r="E22" t="s">
        <v>556</v>
      </c>
      <c r="F22" t="s">
        <v>568</v>
      </c>
      <c r="G22" t="s">
        <v>570</v>
      </c>
      <c r="J22" t="s">
        <v>702</v>
      </c>
      <c r="K22" t="s">
        <v>563</v>
      </c>
      <c r="L22" t="s">
        <v>564</v>
      </c>
      <c r="Q22" t="s">
        <v>571</v>
      </c>
      <c r="R22" t="s">
        <v>771</v>
      </c>
      <c r="S22" t="s">
        <v>648</v>
      </c>
      <c r="T22" t="s">
        <v>821</v>
      </c>
    </row>
    <row r="23" spans="1:20" x14ac:dyDescent="0.25">
      <c r="A23" s="3" t="s">
        <v>717</v>
      </c>
      <c r="B23" t="s">
        <v>387</v>
      </c>
      <c r="C23" t="s">
        <v>154</v>
      </c>
      <c r="D23" t="s">
        <v>548</v>
      </c>
      <c r="E23" t="s">
        <v>557</v>
      </c>
      <c r="J23" t="s">
        <v>434</v>
      </c>
      <c r="K23" t="s">
        <v>442</v>
      </c>
      <c r="L23" t="s">
        <v>408</v>
      </c>
      <c r="M23" t="s">
        <v>563</v>
      </c>
      <c r="N23" t="s">
        <v>564</v>
      </c>
      <c r="Q23" t="s">
        <v>572</v>
      </c>
      <c r="R23" t="s">
        <v>771</v>
      </c>
      <c r="S23" t="s">
        <v>648</v>
      </c>
      <c r="T23" t="s">
        <v>821</v>
      </c>
    </row>
    <row r="24" spans="1:20" x14ac:dyDescent="0.25">
      <c r="A24" s="3" t="s">
        <v>717</v>
      </c>
      <c r="B24" t="s">
        <v>387</v>
      </c>
      <c r="C24" t="s">
        <v>154</v>
      </c>
      <c r="D24" t="s">
        <v>549</v>
      </c>
      <c r="E24" t="s">
        <v>558</v>
      </c>
      <c r="J24" t="s">
        <v>436</v>
      </c>
      <c r="K24" t="s">
        <v>442</v>
      </c>
      <c r="L24" t="s">
        <v>408</v>
      </c>
      <c r="M24" t="s">
        <v>563</v>
      </c>
      <c r="N24" t="s">
        <v>564</v>
      </c>
      <c r="Q24" t="s">
        <v>573</v>
      </c>
      <c r="R24" t="s">
        <v>771</v>
      </c>
      <c r="S24" t="s">
        <v>648</v>
      </c>
      <c r="T24" t="s">
        <v>821</v>
      </c>
    </row>
    <row r="25" spans="1:20" x14ac:dyDescent="0.25">
      <c r="A25" s="3" t="s">
        <v>717</v>
      </c>
      <c r="B25" t="s">
        <v>387</v>
      </c>
      <c r="C25" t="s">
        <v>154</v>
      </c>
      <c r="D25" t="s">
        <v>549</v>
      </c>
      <c r="E25" t="s">
        <v>558</v>
      </c>
      <c r="F25" t="s">
        <v>574</v>
      </c>
      <c r="G25" t="s">
        <v>575</v>
      </c>
      <c r="J25" t="s">
        <v>436</v>
      </c>
      <c r="K25" t="s">
        <v>563</v>
      </c>
      <c r="L25" t="s">
        <v>564</v>
      </c>
      <c r="Q25" t="s">
        <v>576</v>
      </c>
      <c r="R25" t="s">
        <v>771</v>
      </c>
      <c r="S25" t="s">
        <v>648</v>
      </c>
      <c r="T25" t="s">
        <v>821</v>
      </c>
    </row>
    <row r="26" spans="1:20" x14ac:dyDescent="0.25">
      <c r="A26" s="3" t="s">
        <v>717</v>
      </c>
      <c r="B26" t="s">
        <v>578</v>
      </c>
      <c r="C26" t="s">
        <v>577</v>
      </c>
      <c r="J26" t="s">
        <v>436</v>
      </c>
      <c r="K26" t="s">
        <v>443</v>
      </c>
      <c r="L26" t="s">
        <v>405</v>
      </c>
      <c r="M26" t="s">
        <v>449</v>
      </c>
      <c r="N26" t="s">
        <v>402</v>
      </c>
      <c r="Q26" t="s">
        <v>579</v>
      </c>
      <c r="R26" t="s">
        <v>841</v>
      </c>
      <c r="S26" t="s">
        <v>667</v>
      </c>
      <c r="T26" t="s">
        <v>821</v>
      </c>
    </row>
    <row r="27" spans="1:20" x14ac:dyDescent="0.25">
      <c r="A27" s="3" t="s">
        <v>717</v>
      </c>
      <c r="B27" t="s">
        <v>578</v>
      </c>
      <c r="C27" t="s">
        <v>577</v>
      </c>
      <c r="D27" t="s">
        <v>581</v>
      </c>
      <c r="E27" t="s">
        <v>582</v>
      </c>
      <c r="J27" t="s">
        <v>583</v>
      </c>
      <c r="K27" t="s">
        <v>445</v>
      </c>
      <c r="L27" t="s">
        <v>407</v>
      </c>
      <c r="M27" t="s">
        <v>450</v>
      </c>
      <c r="N27" t="s">
        <v>400</v>
      </c>
      <c r="Q27" t="s">
        <v>584</v>
      </c>
      <c r="R27" t="s">
        <v>840</v>
      </c>
      <c r="S27" t="s">
        <v>650</v>
      </c>
      <c r="T27" t="s">
        <v>821</v>
      </c>
    </row>
    <row r="28" spans="1:20" x14ac:dyDescent="0.25">
      <c r="A28" s="3" t="s">
        <v>717</v>
      </c>
      <c r="B28" t="s">
        <v>578</v>
      </c>
      <c r="C28" t="s">
        <v>577</v>
      </c>
      <c r="D28" t="s">
        <v>585</v>
      </c>
      <c r="E28" t="s">
        <v>586</v>
      </c>
      <c r="J28" t="s">
        <v>436</v>
      </c>
      <c r="K28" t="s">
        <v>449</v>
      </c>
      <c r="L28" t="s">
        <v>402</v>
      </c>
      <c r="Q28" t="s">
        <v>587</v>
      </c>
      <c r="R28" t="s">
        <v>839</v>
      </c>
      <c r="S28" t="s">
        <v>666</v>
      </c>
      <c r="T28" t="s">
        <v>821</v>
      </c>
    </row>
    <row r="29" spans="1:20" x14ac:dyDescent="0.25">
      <c r="A29" s="3" t="s">
        <v>717</v>
      </c>
      <c r="B29" t="s">
        <v>588</v>
      </c>
      <c r="C29" t="s">
        <v>589</v>
      </c>
      <c r="J29" t="s">
        <v>757</v>
      </c>
      <c r="K29" t="s">
        <v>443</v>
      </c>
      <c r="L29" t="s">
        <v>405</v>
      </c>
      <c r="M29" t="s">
        <v>450</v>
      </c>
      <c r="N29" t="s">
        <v>400</v>
      </c>
      <c r="R29" t="s">
        <v>838</v>
      </c>
      <c r="S29" t="s">
        <v>580</v>
      </c>
      <c r="T29" t="s">
        <v>821</v>
      </c>
    </row>
    <row r="30" spans="1:20" x14ac:dyDescent="0.25">
      <c r="A30" s="3" t="s">
        <v>717</v>
      </c>
      <c r="B30" t="s">
        <v>588</v>
      </c>
      <c r="C30" t="s">
        <v>589</v>
      </c>
      <c r="D30" t="s">
        <v>590</v>
      </c>
      <c r="E30" t="s">
        <v>591</v>
      </c>
      <c r="J30" t="s">
        <v>702</v>
      </c>
      <c r="K30" t="s">
        <v>443</v>
      </c>
      <c r="L30" t="s">
        <v>405</v>
      </c>
      <c r="Q30" t="s">
        <v>592</v>
      </c>
      <c r="R30" t="s">
        <v>771</v>
      </c>
      <c r="S30" t="s">
        <v>580</v>
      </c>
      <c r="T30" t="s">
        <v>821</v>
      </c>
    </row>
    <row r="31" spans="1:20" x14ac:dyDescent="0.25">
      <c r="A31" s="3" t="s">
        <v>717</v>
      </c>
      <c r="B31" t="s">
        <v>588</v>
      </c>
      <c r="C31" t="s">
        <v>589</v>
      </c>
      <c r="D31" t="s">
        <v>593</v>
      </c>
      <c r="E31" t="s">
        <v>594</v>
      </c>
      <c r="J31" t="s">
        <v>753</v>
      </c>
      <c r="K31" t="s">
        <v>443</v>
      </c>
      <c r="L31" t="s">
        <v>405</v>
      </c>
      <c r="M31" t="s">
        <v>451</v>
      </c>
      <c r="N31" t="s">
        <v>401</v>
      </c>
      <c r="Q31" t="s">
        <v>595</v>
      </c>
      <c r="R31" t="s">
        <v>771</v>
      </c>
      <c r="S31" t="s">
        <v>669</v>
      </c>
      <c r="T31" t="s">
        <v>821</v>
      </c>
    </row>
    <row r="32" spans="1:20" x14ac:dyDescent="0.25">
      <c r="A32" s="3" t="s">
        <v>717</v>
      </c>
      <c r="B32" t="s">
        <v>588</v>
      </c>
      <c r="C32" t="s">
        <v>589</v>
      </c>
      <c r="D32" t="s">
        <v>596</v>
      </c>
      <c r="E32" t="s">
        <v>597</v>
      </c>
      <c r="J32" t="s">
        <v>434</v>
      </c>
      <c r="K32" t="s">
        <v>450</v>
      </c>
      <c r="L32" t="s">
        <v>400</v>
      </c>
      <c r="M32" t="s">
        <v>445</v>
      </c>
      <c r="N32" t="s">
        <v>407</v>
      </c>
      <c r="Q32" t="s">
        <v>598</v>
      </c>
      <c r="R32" t="s">
        <v>771</v>
      </c>
      <c r="S32" t="s">
        <v>668</v>
      </c>
      <c r="T32" t="s">
        <v>821</v>
      </c>
    </row>
    <row r="33" spans="1:20" x14ac:dyDescent="0.25">
      <c r="A33" s="3" t="s">
        <v>717</v>
      </c>
      <c r="B33" t="s">
        <v>588</v>
      </c>
      <c r="C33" t="s">
        <v>589</v>
      </c>
      <c r="D33" t="s">
        <v>599</v>
      </c>
      <c r="E33" t="s">
        <v>28</v>
      </c>
      <c r="J33" t="s">
        <v>757</v>
      </c>
      <c r="K33" t="s">
        <v>449</v>
      </c>
      <c r="L33" t="s">
        <v>400</v>
      </c>
      <c r="M33" t="s">
        <v>450</v>
      </c>
      <c r="N33" t="s">
        <v>400</v>
      </c>
      <c r="Q33" t="s">
        <v>600</v>
      </c>
      <c r="R33" t="s">
        <v>771</v>
      </c>
      <c r="S33" t="s">
        <v>580</v>
      </c>
      <c r="T33" t="s">
        <v>821</v>
      </c>
    </row>
    <row r="34" spans="1:20" x14ac:dyDescent="0.25">
      <c r="A34" s="3" t="s">
        <v>717</v>
      </c>
      <c r="B34" t="s">
        <v>601</v>
      </c>
      <c r="C34" t="s">
        <v>602</v>
      </c>
      <c r="J34" t="s">
        <v>434</v>
      </c>
      <c r="K34" t="s">
        <v>449</v>
      </c>
      <c r="L34" t="s">
        <v>402</v>
      </c>
      <c r="M34" t="s">
        <v>443</v>
      </c>
      <c r="N34" t="s">
        <v>405</v>
      </c>
      <c r="R34" t="s">
        <v>837</v>
      </c>
      <c r="S34" t="s">
        <v>670</v>
      </c>
      <c r="T34" t="s">
        <v>821</v>
      </c>
    </row>
    <row r="35" spans="1:20" x14ac:dyDescent="0.25">
      <c r="A35" s="3" t="s">
        <v>717</v>
      </c>
      <c r="B35" t="s">
        <v>601</v>
      </c>
      <c r="C35" t="s">
        <v>602</v>
      </c>
      <c r="D35" t="s">
        <v>603</v>
      </c>
      <c r="E35" t="s">
        <v>604</v>
      </c>
      <c r="J35" t="s">
        <v>434</v>
      </c>
      <c r="K35" t="s">
        <v>449</v>
      </c>
      <c r="L35" t="s">
        <v>402</v>
      </c>
      <c r="M35" t="s">
        <v>443</v>
      </c>
      <c r="N35" t="s">
        <v>405</v>
      </c>
      <c r="R35" t="s">
        <v>771</v>
      </c>
      <c r="S35" t="s">
        <v>672</v>
      </c>
      <c r="T35" t="s">
        <v>821</v>
      </c>
    </row>
    <row r="36" spans="1:20" x14ac:dyDescent="0.25">
      <c r="A36" s="3" t="s">
        <v>717</v>
      </c>
      <c r="B36" t="s">
        <v>601</v>
      </c>
      <c r="C36" t="s">
        <v>602</v>
      </c>
      <c r="D36" t="s">
        <v>605</v>
      </c>
      <c r="E36" t="s">
        <v>606</v>
      </c>
      <c r="J36" t="s">
        <v>434</v>
      </c>
      <c r="K36" t="s">
        <v>449</v>
      </c>
      <c r="L36" t="s">
        <v>402</v>
      </c>
      <c r="M36" t="s">
        <v>443</v>
      </c>
      <c r="N36" t="s">
        <v>405</v>
      </c>
      <c r="Q36" t="s">
        <v>607</v>
      </c>
      <c r="R36" t="s">
        <v>771</v>
      </c>
      <c r="S36" t="s">
        <v>671</v>
      </c>
      <c r="T36" t="s">
        <v>821</v>
      </c>
    </row>
    <row r="37" spans="1:20" x14ac:dyDescent="0.25">
      <c r="A37" s="3" t="s">
        <v>717</v>
      </c>
      <c r="B37" t="s">
        <v>608</v>
      </c>
      <c r="C37" t="s">
        <v>609</v>
      </c>
      <c r="J37" t="s">
        <v>434</v>
      </c>
      <c r="K37" t="s">
        <v>437</v>
      </c>
      <c r="L37" t="s">
        <v>409</v>
      </c>
      <c r="M37" t="s">
        <v>563</v>
      </c>
      <c r="N37" t="s">
        <v>564</v>
      </c>
      <c r="Q37" t="s">
        <v>610</v>
      </c>
      <c r="R37" t="s">
        <v>836</v>
      </c>
      <c r="S37" t="s">
        <v>673</v>
      </c>
      <c r="T37" t="s">
        <v>821</v>
      </c>
    </row>
    <row r="38" spans="1:20" x14ac:dyDescent="0.25">
      <c r="A38" s="3" t="s">
        <v>717</v>
      </c>
      <c r="B38" t="s">
        <v>608</v>
      </c>
      <c r="C38" t="s">
        <v>609</v>
      </c>
      <c r="D38" t="s">
        <v>718</v>
      </c>
      <c r="E38" t="s">
        <v>720</v>
      </c>
      <c r="J38" t="s">
        <v>434</v>
      </c>
      <c r="K38" t="s">
        <v>437</v>
      </c>
      <c r="L38" t="s">
        <v>409</v>
      </c>
      <c r="M38" t="s">
        <v>563</v>
      </c>
      <c r="N38" t="s">
        <v>564</v>
      </c>
      <c r="Q38" t="s">
        <v>470</v>
      </c>
      <c r="R38" t="s">
        <v>771</v>
      </c>
      <c r="S38" t="s">
        <v>673</v>
      </c>
      <c r="T38" t="s">
        <v>821</v>
      </c>
    </row>
    <row r="39" spans="1:20" x14ac:dyDescent="0.25">
      <c r="A39" s="3" t="s">
        <v>717</v>
      </c>
      <c r="B39" t="s">
        <v>608</v>
      </c>
      <c r="D39" t="s">
        <v>719</v>
      </c>
      <c r="E39" t="s">
        <v>721</v>
      </c>
      <c r="J39" t="s">
        <v>434</v>
      </c>
      <c r="K39" t="s">
        <v>437</v>
      </c>
      <c r="L39" t="s">
        <v>409</v>
      </c>
      <c r="M39" t="s">
        <v>563</v>
      </c>
      <c r="N39" t="s">
        <v>564</v>
      </c>
      <c r="Q39" t="s">
        <v>722</v>
      </c>
      <c r="R39" t="s">
        <v>771</v>
      </c>
      <c r="S39" t="s">
        <v>673</v>
      </c>
      <c r="T39" t="s">
        <v>821</v>
      </c>
    </row>
    <row r="40" spans="1:20" x14ac:dyDescent="0.25">
      <c r="A40" s="3" t="s">
        <v>717</v>
      </c>
      <c r="B40" t="s">
        <v>611</v>
      </c>
      <c r="C40" t="s">
        <v>383</v>
      </c>
      <c r="J40" t="s">
        <v>756</v>
      </c>
      <c r="K40" t="s">
        <v>439</v>
      </c>
      <c r="L40" t="s">
        <v>410</v>
      </c>
      <c r="M40" t="s">
        <v>443</v>
      </c>
      <c r="N40" t="s">
        <v>405</v>
      </c>
      <c r="Q40" t="s">
        <v>612</v>
      </c>
      <c r="R40" t="s">
        <v>835</v>
      </c>
      <c r="S40" t="s">
        <v>674</v>
      </c>
      <c r="T40" t="s">
        <v>821</v>
      </c>
    </row>
    <row r="41" spans="1:20" x14ac:dyDescent="0.25">
      <c r="A41" s="3" t="s">
        <v>717</v>
      </c>
      <c r="B41" t="s">
        <v>611</v>
      </c>
      <c r="C41" t="s">
        <v>383</v>
      </c>
      <c r="D41" t="s">
        <v>724</v>
      </c>
      <c r="E41" t="s">
        <v>726</v>
      </c>
      <c r="J41" t="s">
        <v>756</v>
      </c>
      <c r="K41" t="s">
        <v>441</v>
      </c>
      <c r="L41" t="s">
        <v>412</v>
      </c>
      <c r="M41" t="s">
        <v>462</v>
      </c>
      <c r="N41" t="s">
        <v>398</v>
      </c>
      <c r="Q41" t="s">
        <v>729</v>
      </c>
      <c r="R41" t="s">
        <v>771</v>
      </c>
      <c r="S41" t="s">
        <v>674</v>
      </c>
      <c r="T41" t="s">
        <v>821</v>
      </c>
    </row>
    <row r="42" spans="1:20" x14ac:dyDescent="0.25">
      <c r="A42" s="3" t="s">
        <v>717</v>
      </c>
      <c r="B42" t="s">
        <v>611</v>
      </c>
      <c r="C42" t="s">
        <v>383</v>
      </c>
      <c r="D42" t="s">
        <v>723</v>
      </c>
      <c r="E42" t="s">
        <v>725</v>
      </c>
      <c r="J42" t="s">
        <v>756</v>
      </c>
      <c r="K42" t="s">
        <v>439</v>
      </c>
      <c r="L42" t="s">
        <v>410</v>
      </c>
      <c r="M42" t="s">
        <v>438</v>
      </c>
      <c r="N42" t="s">
        <v>413</v>
      </c>
      <c r="Q42" t="s">
        <v>730</v>
      </c>
      <c r="R42" t="s">
        <v>771</v>
      </c>
      <c r="S42" t="s">
        <v>674</v>
      </c>
      <c r="T42" t="s">
        <v>821</v>
      </c>
    </row>
    <row r="43" spans="1:20" x14ac:dyDescent="0.25">
      <c r="A43" s="3" t="s">
        <v>717</v>
      </c>
      <c r="D43" t="s">
        <v>613</v>
      </c>
      <c r="E43" t="s">
        <v>115</v>
      </c>
      <c r="J43" t="s">
        <v>756</v>
      </c>
      <c r="K43" t="s">
        <v>449</v>
      </c>
      <c r="L43" t="s">
        <v>402</v>
      </c>
      <c r="M43" t="s">
        <v>563</v>
      </c>
      <c r="N43" t="s">
        <v>564</v>
      </c>
      <c r="Q43" t="s">
        <v>614</v>
      </c>
      <c r="R43" t="s">
        <v>834</v>
      </c>
      <c r="S43" t="s">
        <v>646</v>
      </c>
      <c r="T43" t="s">
        <v>821</v>
      </c>
    </row>
    <row r="44" spans="1:20" x14ac:dyDescent="0.25">
      <c r="A44" s="3" t="s">
        <v>717</v>
      </c>
      <c r="B44" t="s">
        <v>615</v>
      </c>
      <c r="C44" t="s">
        <v>160</v>
      </c>
      <c r="J44" t="s">
        <v>756</v>
      </c>
      <c r="K44" t="s">
        <v>563</v>
      </c>
      <c r="L44" t="s">
        <v>564</v>
      </c>
      <c r="M44" t="s">
        <v>437</v>
      </c>
      <c r="N44" t="s">
        <v>409</v>
      </c>
      <c r="Q44" t="s">
        <v>616</v>
      </c>
      <c r="R44" t="s">
        <v>833</v>
      </c>
      <c r="S44" t="s">
        <v>580</v>
      </c>
      <c r="T44" t="s">
        <v>821</v>
      </c>
    </row>
    <row r="45" spans="1:20" x14ac:dyDescent="0.25">
      <c r="A45" s="3" t="s">
        <v>717</v>
      </c>
      <c r="D45" t="s">
        <v>617</v>
      </c>
      <c r="E45" t="s">
        <v>618</v>
      </c>
      <c r="J45" t="s">
        <v>756</v>
      </c>
      <c r="K45" t="s">
        <v>449</v>
      </c>
      <c r="L45" t="s">
        <v>402</v>
      </c>
      <c r="M45" t="s">
        <v>446</v>
      </c>
      <c r="N45" t="s">
        <v>399</v>
      </c>
      <c r="Q45" t="s">
        <v>619</v>
      </c>
      <c r="R45" t="s">
        <v>832</v>
      </c>
      <c r="S45" t="s">
        <v>666</v>
      </c>
      <c r="T45" t="s">
        <v>821</v>
      </c>
    </row>
    <row r="46" spans="1:20" x14ac:dyDescent="0.25">
      <c r="A46" s="3" t="s">
        <v>717</v>
      </c>
      <c r="D46" t="s">
        <v>620</v>
      </c>
      <c r="E46" t="s">
        <v>621</v>
      </c>
      <c r="J46" t="s">
        <v>756</v>
      </c>
      <c r="K46" t="s">
        <v>446</v>
      </c>
      <c r="L46" t="s">
        <v>399</v>
      </c>
      <c r="M46" t="s">
        <v>443</v>
      </c>
      <c r="N46" t="s">
        <v>405</v>
      </c>
      <c r="Q46" t="s">
        <v>622</v>
      </c>
      <c r="R46" t="s">
        <v>831</v>
      </c>
      <c r="S46" t="s">
        <v>580</v>
      </c>
      <c r="T46" t="s">
        <v>821</v>
      </c>
    </row>
    <row r="47" spans="1:20" x14ac:dyDescent="0.25">
      <c r="A47" s="3" t="s">
        <v>717</v>
      </c>
      <c r="B47" t="s">
        <v>623</v>
      </c>
      <c r="C47" t="s">
        <v>624</v>
      </c>
      <c r="J47" t="s">
        <v>756</v>
      </c>
      <c r="K47" t="s">
        <v>437</v>
      </c>
      <c r="L47" t="s">
        <v>409</v>
      </c>
      <c r="M47" t="s">
        <v>563</v>
      </c>
      <c r="N47" t="s">
        <v>564</v>
      </c>
      <c r="Q47" t="s">
        <v>625</v>
      </c>
      <c r="R47" t="s">
        <v>830</v>
      </c>
      <c r="S47" t="s">
        <v>580</v>
      </c>
      <c r="T47" t="s">
        <v>821</v>
      </c>
    </row>
    <row r="48" spans="1:20" x14ac:dyDescent="0.25">
      <c r="A48" s="3" t="s">
        <v>717</v>
      </c>
      <c r="C48" t="s">
        <v>624</v>
      </c>
      <c r="D48" t="s">
        <v>626</v>
      </c>
      <c r="E48" t="s">
        <v>150</v>
      </c>
      <c r="J48" t="s">
        <v>756</v>
      </c>
      <c r="K48" t="s">
        <v>437</v>
      </c>
      <c r="L48" t="s">
        <v>409</v>
      </c>
      <c r="M48" t="s">
        <v>563</v>
      </c>
      <c r="N48" t="s">
        <v>564</v>
      </c>
      <c r="Q48" t="s">
        <v>470</v>
      </c>
      <c r="R48" t="s">
        <v>829</v>
      </c>
      <c r="S48" t="s">
        <v>580</v>
      </c>
      <c r="T48" t="s">
        <v>821</v>
      </c>
    </row>
    <row r="49" spans="1:20" x14ac:dyDescent="0.25">
      <c r="A49" s="3" t="s">
        <v>717</v>
      </c>
      <c r="B49" t="s">
        <v>627</v>
      </c>
      <c r="C49" t="s">
        <v>628</v>
      </c>
      <c r="J49" t="s">
        <v>756</v>
      </c>
      <c r="K49" t="s">
        <v>437</v>
      </c>
      <c r="L49" t="s">
        <v>409</v>
      </c>
      <c r="M49" t="s">
        <v>563</v>
      </c>
      <c r="N49" t="s">
        <v>564</v>
      </c>
      <c r="R49" t="s">
        <v>828</v>
      </c>
      <c r="S49" t="s">
        <v>580</v>
      </c>
      <c r="T49" t="s">
        <v>821</v>
      </c>
    </row>
    <row r="50" spans="1:20" x14ac:dyDescent="0.25">
      <c r="A50" s="3" t="s">
        <v>717</v>
      </c>
      <c r="B50" t="s">
        <v>629</v>
      </c>
      <c r="C50" t="s">
        <v>630</v>
      </c>
      <c r="J50" t="s">
        <v>756</v>
      </c>
      <c r="K50" t="s">
        <v>447</v>
      </c>
      <c r="L50" t="s">
        <v>404</v>
      </c>
      <c r="M50" t="s">
        <v>449</v>
      </c>
      <c r="N50" t="s">
        <v>402</v>
      </c>
      <c r="Q50" t="s">
        <v>631</v>
      </c>
      <c r="R50" t="s">
        <v>827</v>
      </c>
      <c r="S50" t="s">
        <v>666</v>
      </c>
      <c r="T50" t="s">
        <v>821</v>
      </c>
    </row>
    <row r="51" spans="1:20" x14ac:dyDescent="0.25">
      <c r="A51" s="3" t="s">
        <v>717</v>
      </c>
      <c r="B51" t="s">
        <v>632</v>
      </c>
      <c r="C51" t="s">
        <v>633</v>
      </c>
      <c r="J51" t="s">
        <v>756</v>
      </c>
      <c r="K51" t="s">
        <v>449</v>
      </c>
      <c r="L51" t="s">
        <v>402</v>
      </c>
      <c r="M51" t="s">
        <v>437</v>
      </c>
      <c r="N51" t="s">
        <v>409</v>
      </c>
      <c r="R51" t="s">
        <v>826</v>
      </c>
      <c r="S51" t="s">
        <v>580</v>
      </c>
      <c r="T51" t="s">
        <v>821</v>
      </c>
    </row>
    <row r="52" spans="1:20" x14ac:dyDescent="0.25">
      <c r="A52" s="3" t="s">
        <v>717</v>
      </c>
      <c r="B52" t="s">
        <v>634</v>
      </c>
      <c r="C52" t="s">
        <v>635</v>
      </c>
      <c r="J52" t="s">
        <v>434</v>
      </c>
      <c r="K52" t="s">
        <v>449</v>
      </c>
      <c r="L52" t="s">
        <v>402</v>
      </c>
      <c r="M52" t="s">
        <v>446</v>
      </c>
      <c r="N52" t="s">
        <v>399</v>
      </c>
      <c r="Q52" t="s">
        <v>636</v>
      </c>
      <c r="R52" t="s">
        <v>825</v>
      </c>
      <c r="S52" t="s">
        <v>637</v>
      </c>
      <c r="T52" t="s">
        <v>821</v>
      </c>
    </row>
    <row r="53" spans="1:20" x14ac:dyDescent="0.25">
      <c r="A53" s="3" t="s">
        <v>717</v>
      </c>
      <c r="B53" t="s">
        <v>634</v>
      </c>
      <c r="C53" t="s">
        <v>635</v>
      </c>
      <c r="D53" t="s">
        <v>638</v>
      </c>
      <c r="E53" t="s">
        <v>639</v>
      </c>
      <c r="J53" t="s">
        <v>434</v>
      </c>
      <c r="K53" t="s">
        <v>449</v>
      </c>
      <c r="L53" t="s">
        <v>402</v>
      </c>
      <c r="M53" t="s">
        <v>563</v>
      </c>
      <c r="N53" t="s">
        <v>564</v>
      </c>
      <c r="R53" t="s">
        <v>824</v>
      </c>
      <c r="S53" t="s">
        <v>675</v>
      </c>
      <c r="T53" t="s">
        <v>821</v>
      </c>
    </row>
    <row r="54" spans="1:20" x14ac:dyDescent="0.25">
      <c r="A54" s="3" t="s">
        <v>717</v>
      </c>
      <c r="B54" t="s">
        <v>640</v>
      </c>
      <c r="C54" t="s">
        <v>641</v>
      </c>
      <c r="J54" t="s">
        <v>436</v>
      </c>
      <c r="K54" t="s">
        <v>443</v>
      </c>
      <c r="L54" t="s">
        <v>405</v>
      </c>
      <c r="M54" t="s">
        <v>446</v>
      </c>
      <c r="N54" t="s">
        <v>399</v>
      </c>
      <c r="Q54" t="s">
        <v>764</v>
      </c>
      <c r="R54" t="s">
        <v>823</v>
      </c>
      <c r="S54" t="s">
        <v>660</v>
      </c>
      <c r="T54" t="s">
        <v>821</v>
      </c>
    </row>
    <row r="55" spans="1:20" x14ac:dyDescent="0.25">
      <c r="A55" s="3" t="s">
        <v>717</v>
      </c>
      <c r="B55" t="s">
        <v>681</v>
      </c>
      <c r="C55" t="s">
        <v>677</v>
      </c>
      <c r="J55" t="s">
        <v>643</v>
      </c>
      <c r="K55" t="s">
        <v>443</v>
      </c>
      <c r="L55" t="s">
        <v>405</v>
      </c>
      <c r="M55" t="s">
        <v>446</v>
      </c>
      <c r="N55" t="s">
        <v>399</v>
      </c>
      <c r="Q55" t="s">
        <v>684</v>
      </c>
      <c r="R55" t="s">
        <v>822</v>
      </c>
      <c r="S55" t="s">
        <v>644</v>
      </c>
      <c r="T55" t="s">
        <v>821</v>
      </c>
    </row>
    <row r="992" spans="5:18" x14ac:dyDescent="0.25">
      <c r="E992" t="s">
        <v>2</v>
      </c>
      <c r="F992" t="s">
        <v>3</v>
      </c>
      <c r="G992" t="s">
        <v>1</v>
      </c>
      <c r="H992" t="s">
        <v>4</v>
      </c>
      <c r="I992" t="s">
        <v>18</v>
      </c>
      <c r="J992" t="s">
        <v>19</v>
      </c>
      <c r="K992" t="s">
        <v>0</v>
      </c>
      <c r="L992" t="s">
        <v>5</v>
      </c>
      <c r="M992" t="s">
        <v>382</v>
      </c>
      <c r="N992" t="s">
        <v>384</v>
      </c>
      <c r="O992" t="s">
        <v>385</v>
      </c>
      <c r="P992" t="s">
        <v>386</v>
      </c>
      <c r="R992" t="s">
        <v>433</v>
      </c>
    </row>
    <row r="993" spans="5:18" x14ac:dyDescent="0.25">
      <c r="E993" t="s">
        <v>210</v>
      </c>
      <c r="F993" t="s">
        <v>48</v>
      </c>
      <c r="G993" t="s">
        <v>216</v>
      </c>
      <c r="H993" t="s">
        <v>6</v>
      </c>
      <c r="I993" t="s">
        <v>223</v>
      </c>
      <c r="J993" t="s">
        <v>54</v>
      </c>
      <c r="K993" t="s">
        <v>258</v>
      </c>
      <c r="L993" t="s">
        <v>96</v>
      </c>
      <c r="M993" t="s">
        <v>437</v>
      </c>
      <c r="N993" t="s">
        <v>409</v>
      </c>
      <c r="O993" t="s">
        <v>437</v>
      </c>
      <c r="P993" t="s">
        <v>409</v>
      </c>
      <c r="R993" t="s">
        <v>434</v>
      </c>
    </row>
    <row r="994" spans="5:18" x14ac:dyDescent="0.25">
      <c r="E994" t="s">
        <v>211</v>
      </c>
      <c r="F994" t="s">
        <v>49</v>
      </c>
      <c r="G994" t="s">
        <v>217</v>
      </c>
      <c r="H994" t="s">
        <v>7</v>
      </c>
      <c r="I994" t="s">
        <v>224</v>
      </c>
      <c r="J994" t="s">
        <v>62</v>
      </c>
      <c r="K994" t="s">
        <v>259</v>
      </c>
      <c r="L994" t="s">
        <v>97</v>
      </c>
      <c r="M994" t="s">
        <v>438</v>
      </c>
      <c r="N994" t="s">
        <v>413</v>
      </c>
      <c r="O994" t="s">
        <v>438</v>
      </c>
      <c r="P994" t="s">
        <v>413</v>
      </c>
      <c r="R994" t="s">
        <v>436</v>
      </c>
    </row>
    <row r="995" spans="5:18" x14ac:dyDescent="0.25">
      <c r="E995" t="s">
        <v>212</v>
      </c>
      <c r="F995" t="s">
        <v>50</v>
      </c>
      <c r="G995" t="s">
        <v>218</v>
      </c>
      <c r="H995" t="s">
        <v>16</v>
      </c>
      <c r="I995" t="s">
        <v>225</v>
      </c>
      <c r="J995" t="s">
        <v>55</v>
      </c>
      <c r="K995" t="s">
        <v>260</v>
      </c>
      <c r="L995" t="s">
        <v>98</v>
      </c>
      <c r="M995" t="s">
        <v>439</v>
      </c>
      <c r="N995" t="s">
        <v>410</v>
      </c>
      <c r="O995" t="s">
        <v>439</v>
      </c>
      <c r="P995" t="s">
        <v>410</v>
      </c>
      <c r="R995" t="s">
        <v>435</v>
      </c>
    </row>
    <row r="996" spans="5:18" x14ac:dyDescent="0.25">
      <c r="E996" t="s">
        <v>213</v>
      </c>
      <c r="F996" t="s">
        <v>51</v>
      </c>
      <c r="G996" t="s">
        <v>219</v>
      </c>
      <c r="H996" t="s">
        <v>17</v>
      </c>
      <c r="I996" t="s">
        <v>226</v>
      </c>
      <c r="J996" t="s">
        <v>63</v>
      </c>
      <c r="K996" t="s">
        <v>261</v>
      </c>
      <c r="L996" t="s">
        <v>99</v>
      </c>
      <c r="M996" t="s">
        <v>440</v>
      </c>
      <c r="N996" t="s">
        <v>411</v>
      </c>
      <c r="O996" t="s">
        <v>440</v>
      </c>
      <c r="P996" t="s">
        <v>411</v>
      </c>
      <c r="R996" t="s">
        <v>583</v>
      </c>
    </row>
    <row r="997" spans="5:18" x14ac:dyDescent="0.25">
      <c r="E997" t="s">
        <v>214</v>
      </c>
      <c r="F997" t="s">
        <v>52</v>
      </c>
      <c r="G997" t="s">
        <v>220</v>
      </c>
      <c r="H997" t="s">
        <v>10</v>
      </c>
      <c r="I997" t="s">
        <v>227</v>
      </c>
      <c r="J997" t="s">
        <v>64</v>
      </c>
      <c r="K997" t="s">
        <v>262</v>
      </c>
      <c r="L997" t="s">
        <v>32</v>
      </c>
      <c r="M997" t="s">
        <v>441</v>
      </c>
      <c r="N997" t="s">
        <v>412</v>
      </c>
      <c r="O997" t="s">
        <v>441</v>
      </c>
      <c r="P997" t="s">
        <v>412</v>
      </c>
      <c r="R997" t="s">
        <v>643</v>
      </c>
    </row>
    <row r="998" spans="5:18" x14ac:dyDescent="0.25">
      <c r="E998" t="s">
        <v>215</v>
      </c>
      <c r="F998" t="s">
        <v>53</v>
      </c>
      <c r="G998" t="s">
        <v>221</v>
      </c>
      <c r="H998" t="s">
        <v>11</v>
      </c>
      <c r="I998" t="s">
        <v>228</v>
      </c>
      <c r="J998" t="s">
        <v>65</v>
      </c>
      <c r="K998" t="s">
        <v>263</v>
      </c>
      <c r="L998" t="s">
        <v>100</v>
      </c>
      <c r="M998" t="s">
        <v>442</v>
      </c>
      <c r="N998" t="s">
        <v>408</v>
      </c>
      <c r="O998" t="s">
        <v>442</v>
      </c>
      <c r="P998" t="s">
        <v>408</v>
      </c>
      <c r="R998" t="s">
        <v>702</v>
      </c>
    </row>
    <row r="999" spans="5:18" x14ac:dyDescent="0.25">
      <c r="G999" t="s">
        <v>222</v>
      </c>
      <c r="H999" t="s">
        <v>8</v>
      </c>
      <c r="I999" t="s">
        <v>229</v>
      </c>
      <c r="J999" t="s">
        <v>56</v>
      </c>
      <c r="K999" t="s">
        <v>264</v>
      </c>
      <c r="L999" t="s">
        <v>101</v>
      </c>
      <c r="M999" t="s">
        <v>443</v>
      </c>
      <c r="N999" t="s">
        <v>405</v>
      </c>
      <c r="O999" t="s">
        <v>443</v>
      </c>
      <c r="P999" t="s">
        <v>405</v>
      </c>
      <c r="R999" t="s">
        <v>756</v>
      </c>
    </row>
    <row r="1000" spans="5:18" x14ac:dyDescent="0.25">
      <c r="G1000" t="s">
        <v>20</v>
      </c>
      <c r="H1000" t="s">
        <v>9</v>
      </c>
      <c r="I1000" t="s">
        <v>230</v>
      </c>
      <c r="J1000" t="s">
        <v>67</v>
      </c>
      <c r="K1000" t="s">
        <v>265</v>
      </c>
      <c r="L1000" t="s">
        <v>27</v>
      </c>
      <c r="M1000" t="s">
        <v>444</v>
      </c>
      <c r="N1000" t="s">
        <v>406</v>
      </c>
      <c r="O1000" t="s">
        <v>444</v>
      </c>
      <c r="P1000" t="s">
        <v>406</v>
      </c>
      <c r="R1000" t="s">
        <v>753</v>
      </c>
    </row>
    <row r="1001" spans="5:18" x14ac:dyDescent="0.25">
      <c r="G1001" t="s">
        <v>21</v>
      </c>
      <c r="H1001" t="s">
        <v>12</v>
      </c>
      <c r="I1001" t="s">
        <v>231</v>
      </c>
      <c r="J1001" t="s">
        <v>66</v>
      </c>
      <c r="K1001" t="s">
        <v>266</v>
      </c>
      <c r="L1001" t="s">
        <v>102</v>
      </c>
      <c r="M1001" t="s">
        <v>445</v>
      </c>
      <c r="N1001" t="s">
        <v>407</v>
      </c>
      <c r="O1001" t="s">
        <v>445</v>
      </c>
      <c r="P1001" t="s">
        <v>407</v>
      </c>
      <c r="R1001" t="s">
        <v>757</v>
      </c>
    </row>
    <row r="1002" spans="5:18" x14ac:dyDescent="0.25">
      <c r="G1002" t="s">
        <v>22</v>
      </c>
      <c r="H1002" t="s">
        <v>13</v>
      </c>
      <c r="I1002" t="s">
        <v>232</v>
      </c>
      <c r="J1002" t="s">
        <v>68</v>
      </c>
      <c r="K1002" t="s">
        <v>267</v>
      </c>
      <c r="L1002" t="s">
        <v>103</v>
      </c>
      <c r="M1002" t="s">
        <v>446</v>
      </c>
      <c r="N1002" t="s">
        <v>399</v>
      </c>
      <c r="O1002" t="s">
        <v>446</v>
      </c>
      <c r="P1002" t="s">
        <v>399</v>
      </c>
    </row>
    <row r="1003" spans="5:18" x14ac:dyDescent="0.25">
      <c r="G1003" t="s">
        <v>23</v>
      </c>
      <c r="H1003" t="s">
        <v>14</v>
      </c>
      <c r="I1003" t="s">
        <v>233</v>
      </c>
      <c r="J1003" t="s">
        <v>70</v>
      </c>
      <c r="K1003" t="s">
        <v>268</v>
      </c>
      <c r="L1003" t="s">
        <v>104</v>
      </c>
      <c r="M1003" t="s">
        <v>447</v>
      </c>
      <c r="N1003" t="s">
        <v>404</v>
      </c>
      <c r="O1003" t="s">
        <v>447</v>
      </c>
      <c r="P1003" t="s">
        <v>404</v>
      </c>
    </row>
    <row r="1004" spans="5:18" x14ac:dyDescent="0.25">
      <c r="G1004" t="s">
        <v>24</v>
      </c>
      <c r="H1004" t="s">
        <v>15</v>
      </c>
      <c r="I1004" t="s">
        <v>234</v>
      </c>
      <c r="J1004" t="s">
        <v>71</v>
      </c>
      <c r="K1004" t="s">
        <v>269</v>
      </c>
      <c r="L1004" t="s">
        <v>105</v>
      </c>
      <c r="M1004" t="s">
        <v>448</v>
      </c>
      <c r="N1004" t="s">
        <v>403</v>
      </c>
      <c r="O1004" t="s">
        <v>448</v>
      </c>
      <c r="P1004" t="s">
        <v>403</v>
      </c>
    </row>
    <row r="1005" spans="5:18" x14ac:dyDescent="0.25">
      <c r="G1005" t="s">
        <v>29</v>
      </c>
      <c r="H1005" t="s">
        <v>25</v>
      </c>
      <c r="I1005" t="s">
        <v>235</v>
      </c>
      <c r="J1005" t="s">
        <v>73</v>
      </c>
      <c r="K1005" t="s">
        <v>270</v>
      </c>
      <c r="L1005" t="s">
        <v>106</v>
      </c>
      <c r="M1005" t="s">
        <v>449</v>
      </c>
      <c r="N1005" t="s">
        <v>402</v>
      </c>
      <c r="O1005" t="s">
        <v>449</v>
      </c>
      <c r="P1005" t="s">
        <v>402</v>
      </c>
    </row>
    <row r="1006" spans="5:18" x14ac:dyDescent="0.25">
      <c r="G1006" t="s">
        <v>39</v>
      </c>
      <c r="H1006" t="s">
        <v>28</v>
      </c>
      <c r="I1006" t="s">
        <v>236</v>
      </c>
      <c r="J1006" t="s">
        <v>74</v>
      </c>
      <c r="K1006" t="s">
        <v>271</v>
      </c>
      <c r="L1006" t="s">
        <v>107</v>
      </c>
      <c r="M1006" t="s">
        <v>450</v>
      </c>
      <c r="N1006" t="s">
        <v>400</v>
      </c>
      <c r="O1006" t="s">
        <v>450</v>
      </c>
      <c r="P1006" t="s">
        <v>400</v>
      </c>
    </row>
    <row r="1007" spans="5:18" x14ac:dyDescent="0.25">
      <c r="G1007" t="s">
        <v>40</v>
      </c>
      <c r="H1007" t="s">
        <v>30</v>
      </c>
      <c r="I1007" t="s">
        <v>237</v>
      </c>
      <c r="J1007" t="s">
        <v>59</v>
      </c>
      <c r="K1007" t="s">
        <v>272</v>
      </c>
      <c r="L1007" t="s">
        <v>108</v>
      </c>
      <c r="M1007" t="s">
        <v>451</v>
      </c>
      <c r="N1007" t="s">
        <v>401</v>
      </c>
      <c r="O1007" t="s">
        <v>451</v>
      </c>
      <c r="P1007" t="s">
        <v>401</v>
      </c>
    </row>
    <row r="1008" spans="5:18" x14ac:dyDescent="0.25">
      <c r="G1008" t="s">
        <v>41</v>
      </c>
      <c r="H1008" t="s">
        <v>33</v>
      </c>
      <c r="I1008" t="s">
        <v>238</v>
      </c>
      <c r="J1008" t="s">
        <v>75</v>
      </c>
      <c r="K1008" t="s">
        <v>273</v>
      </c>
      <c r="L1008" t="s">
        <v>109</v>
      </c>
      <c r="M1008" t="s">
        <v>452</v>
      </c>
      <c r="N1008" t="s">
        <v>388</v>
      </c>
      <c r="O1008" t="s">
        <v>452</v>
      </c>
      <c r="P1008" t="s">
        <v>388</v>
      </c>
    </row>
    <row r="1009" spans="7:16" x14ac:dyDescent="0.25">
      <c r="G1009" t="s">
        <v>42</v>
      </c>
      <c r="H1009" t="s">
        <v>34</v>
      </c>
      <c r="I1009" t="s">
        <v>239</v>
      </c>
      <c r="J1009" t="s">
        <v>76</v>
      </c>
      <c r="K1009" t="s">
        <v>274</v>
      </c>
      <c r="L1009" t="s">
        <v>110</v>
      </c>
      <c r="M1009" t="s">
        <v>453</v>
      </c>
      <c r="N1009" t="s">
        <v>395</v>
      </c>
      <c r="O1009" t="s">
        <v>453</v>
      </c>
      <c r="P1009" t="s">
        <v>395</v>
      </c>
    </row>
    <row r="1010" spans="7:16" x14ac:dyDescent="0.25">
      <c r="G1010" t="s">
        <v>43</v>
      </c>
      <c r="H1010" t="s">
        <v>35</v>
      </c>
      <c r="I1010" t="s">
        <v>240</v>
      </c>
      <c r="J1010" t="s">
        <v>79</v>
      </c>
      <c r="K1010" t="s">
        <v>275</v>
      </c>
      <c r="L1010" t="s">
        <v>111</v>
      </c>
      <c r="M1010" t="s">
        <v>454</v>
      </c>
      <c r="N1010" t="s">
        <v>393</v>
      </c>
      <c r="O1010" t="s">
        <v>454</v>
      </c>
      <c r="P1010" t="s">
        <v>393</v>
      </c>
    </row>
    <row r="1011" spans="7:16" x14ac:dyDescent="0.25">
      <c r="G1011" t="s">
        <v>44</v>
      </c>
      <c r="H1011" t="s">
        <v>36</v>
      </c>
      <c r="I1011" t="s">
        <v>241</v>
      </c>
      <c r="J1011" t="s">
        <v>80</v>
      </c>
      <c r="K1011" t="s">
        <v>276</v>
      </c>
      <c r="L1011" t="s">
        <v>112</v>
      </c>
      <c r="M1011" t="s">
        <v>455</v>
      </c>
      <c r="N1011" t="s">
        <v>390</v>
      </c>
      <c r="O1011" t="s">
        <v>455</v>
      </c>
      <c r="P1011" t="s">
        <v>390</v>
      </c>
    </row>
    <row r="1012" spans="7:16" x14ac:dyDescent="0.25">
      <c r="G1012" t="s">
        <v>45</v>
      </c>
      <c r="H1012" t="s">
        <v>37</v>
      </c>
      <c r="I1012" t="s">
        <v>242</v>
      </c>
      <c r="J1012" t="s">
        <v>81</v>
      </c>
      <c r="K1012" t="s">
        <v>277</v>
      </c>
      <c r="L1012" t="s">
        <v>113</v>
      </c>
      <c r="M1012" t="s">
        <v>456</v>
      </c>
      <c r="N1012" t="s">
        <v>389</v>
      </c>
      <c r="O1012" t="s">
        <v>456</v>
      </c>
      <c r="P1012" t="s">
        <v>389</v>
      </c>
    </row>
    <row r="1013" spans="7:16" x14ac:dyDescent="0.25">
      <c r="G1013" t="s">
        <v>46</v>
      </c>
      <c r="H1013" t="s">
        <v>38</v>
      </c>
      <c r="I1013" t="s">
        <v>243</v>
      </c>
      <c r="J1013" t="s">
        <v>83</v>
      </c>
      <c r="K1013" t="s">
        <v>278</v>
      </c>
      <c r="L1013" t="s">
        <v>114</v>
      </c>
      <c r="M1013" t="s">
        <v>457</v>
      </c>
      <c r="N1013" t="s">
        <v>391</v>
      </c>
      <c r="O1013" t="s">
        <v>457</v>
      </c>
      <c r="P1013" t="s">
        <v>391</v>
      </c>
    </row>
    <row r="1014" spans="7:16" x14ac:dyDescent="0.25">
      <c r="G1014" t="s">
        <v>47</v>
      </c>
      <c r="H1014" t="s">
        <v>31</v>
      </c>
      <c r="I1014" t="s">
        <v>244</v>
      </c>
      <c r="J1014" t="s">
        <v>84</v>
      </c>
      <c r="K1014" t="s">
        <v>279</v>
      </c>
      <c r="L1014" t="s">
        <v>57</v>
      </c>
      <c r="M1014" t="s">
        <v>458</v>
      </c>
      <c r="N1014" t="s">
        <v>392</v>
      </c>
      <c r="O1014" t="s">
        <v>458</v>
      </c>
      <c r="P1014" t="s">
        <v>392</v>
      </c>
    </row>
    <row r="1015" spans="7:16" x14ac:dyDescent="0.25">
      <c r="I1015" t="s">
        <v>245</v>
      </c>
      <c r="J1015" t="s">
        <v>82</v>
      </c>
      <c r="K1015" t="s">
        <v>280</v>
      </c>
      <c r="L1015" t="s">
        <v>115</v>
      </c>
      <c r="M1015" t="s">
        <v>459</v>
      </c>
      <c r="N1015" t="s">
        <v>394</v>
      </c>
      <c r="O1015" t="s">
        <v>459</v>
      </c>
      <c r="P1015" t="s">
        <v>394</v>
      </c>
    </row>
    <row r="1016" spans="7:16" x14ac:dyDescent="0.25">
      <c r="I1016" t="s">
        <v>246</v>
      </c>
      <c r="J1016" t="s">
        <v>85</v>
      </c>
      <c r="K1016" t="s">
        <v>281</v>
      </c>
      <c r="L1016" t="s">
        <v>116</v>
      </c>
      <c r="M1016" t="s">
        <v>460</v>
      </c>
      <c r="N1016" t="s">
        <v>396</v>
      </c>
      <c r="O1016" t="s">
        <v>460</v>
      </c>
      <c r="P1016" t="s">
        <v>396</v>
      </c>
    </row>
    <row r="1017" spans="7:16" x14ac:dyDescent="0.25">
      <c r="I1017" t="s">
        <v>247</v>
      </c>
      <c r="J1017" t="s">
        <v>86</v>
      </c>
      <c r="K1017" t="s">
        <v>282</v>
      </c>
      <c r="L1017" t="s">
        <v>117</v>
      </c>
      <c r="M1017" t="s">
        <v>461</v>
      </c>
      <c r="N1017" t="s">
        <v>397</v>
      </c>
      <c r="O1017" t="s">
        <v>461</v>
      </c>
      <c r="P1017" t="s">
        <v>397</v>
      </c>
    </row>
    <row r="1018" spans="7:16" x14ac:dyDescent="0.25">
      <c r="I1018" t="s">
        <v>248</v>
      </c>
      <c r="J1018" t="s">
        <v>87</v>
      </c>
      <c r="K1018" t="s">
        <v>283</v>
      </c>
      <c r="L1018" t="s">
        <v>118</v>
      </c>
      <c r="M1018" t="s">
        <v>462</v>
      </c>
      <c r="N1018" t="s">
        <v>398</v>
      </c>
      <c r="O1018" t="s">
        <v>462</v>
      </c>
      <c r="P1018" t="s">
        <v>398</v>
      </c>
    </row>
    <row r="1019" spans="7:16" x14ac:dyDescent="0.25">
      <c r="I1019" t="s">
        <v>249</v>
      </c>
      <c r="J1019" t="s">
        <v>61</v>
      </c>
      <c r="K1019" t="s">
        <v>284</v>
      </c>
      <c r="L1019" t="s">
        <v>119</v>
      </c>
      <c r="M1019" t="s">
        <v>563</v>
      </c>
      <c r="N1019" t="s">
        <v>564</v>
      </c>
      <c r="O1019" t="s">
        <v>563</v>
      </c>
      <c r="P1019" t="s">
        <v>564</v>
      </c>
    </row>
    <row r="1020" spans="7:16" x14ac:dyDescent="0.25">
      <c r="I1020" t="s">
        <v>250</v>
      </c>
      <c r="J1020" t="s">
        <v>89</v>
      </c>
      <c r="K1020" t="s">
        <v>285</v>
      </c>
      <c r="L1020" t="s">
        <v>120</v>
      </c>
    </row>
    <row r="1021" spans="7:16" x14ac:dyDescent="0.25">
      <c r="I1021" t="s">
        <v>251</v>
      </c>
      <c r="J1021" t="s">
        <v>90</v>
      </c>
      <c r="K1021" t="s">
        <v>286</v>
      </c>
      <c r="L1021" t="s">
        <v>121</v>
      </c>
    </row>
    <row r="1022" spans="7:16" x14ac:dyDescent="0.25">
      <c r="I1022" t="s">
        <v>252</v>
      </c>
      <c r="J1022" t="s">
        <v>88</v>
      </c>
      <c r="K1022" t="s">
        <v>287</v>
      </c>
      <c r="L1022" t="s">
        <v>122</v>
      </c>
    </row>
    <row r="1023" spans="7:16" x14ac:dyDescent="0.25">
      <c r="I1023" t="s">
        <v>253</v>
      </c>
      <c r="J1023" t="s">
        <v>91</v>
      </c>
      <c r="K1023" t="s">
        <v>288</v>
      </c>
      <c r="L1023" t="s">
        <v>123</v>
      </c>
    </row>
    <row r="1024" spans="7:16" x14ac:dyDescent="0.25">
      <c r="I1024" t="s">
        <v>254</v>
      </c>
      <c r="J1024" t="s">
        <v>208</v>
      </c>
      <c r="K1024" t="s">
        <v>289</v>
      </c>
      <c r="L1024" t="s">
        <v>124</v>
      </c>
    </row>
    <row r="1025" spans="9:12" x14ac:dyDescent="0.25">
      <c r="I1025" t="s">
        <v>255</v>
      </c>
      <c r="J1025" t="s">
        <v>209</v>
      </c>
      <c r="K1025" t="s">
        <v>290</v>
      </c>
      <c r="L1025" t="s">
        <v>125</v>
      </c>
    </row>
    <row r="1026" spans="9:12" x14ac:dyDescent="0.25">
      <c r="I1026" t="s">
        <v>256</v>
      </c>
      <c r="J1026" t="s">
        <v>94</v>
      </c>
      <c r="K1026" t="s">
        <v>291</v>
      </c>
      <c r="L1026" t="s">
        <v>126</v>
      </c>
    </row>
    <row r="1027" spans="9:12" x14ac:dyDescent="0.25">
      <c r="I1027" t="s">
        <v>257</v>
      </c>
      <c r="J1027" t="s">
        <v>92</v>
      </c>
      <c r="K1027" t="s">
        <v>292</v>
      </c>
      <c r="L1027" t="s">
        <v>127</v>
      </c>
    </row>
    <row r="1028" spans="9:12" x14ac:dyDescent="0.25">
      <c r="K1028" t="s">
        <v>293</v>
      </c>
      <c r="L1028" t="s">
        <v>58</v>
      </c>
    </row>
    <row r="1029" spans="9:12" x14ac:dyDescent="0.25">
      <c r="K1029" t="s">
        <v>294</v>
      </c>
      <c r="L1029" t="s">
        <v>128</v>
      </c>
    </row>
    <row r="1030" spans="9:12" x14ac:dyDescent="0.25">
      <c r="K1030" t="s">
        <v>295</v>
      </c>
      <c r="L1030" t="s">
        <v>129</v>
      </c>
    </row>
    <row r="1031" spans="9:12" x14ac:dyDescent="0.25">
      <c r="K1031" t="s">
        <v>296</v>
      </c>
      <c r="L1031" t="s">
        <v>130</v>
      </c>
    </row>
    <row r="1032" spans="9:12" x14ac:dyDescent="0.25">
      <c r="K1032" t="s">
        <v>297</v>
      </c>
      <c r="L1032" t="s">
        <v>131</v>
      </c>
    </row>
    <row r="1033" spans="9:12" x14ac:dyDescent="0.25">
      <c r="K1033" t="s">
        <v>298</v>
      </c>
      <c r="L1033" t="s">
        <v>132</v>
      </c>
    </row>
    <row r="1034" spans="9:12" x14ac:dyDescent="0.25">
      <c r="K1034" t="s">
        <v>299</v>
      </c>
      <c r="L1034" t="s">
        <v>133</v>
      </c>
    </row>
    <row r="1035" spans="9:12" x14ac:dyDescent="0.25">
      <c r="K1035" t="s">
        <v>300</v>
      </c>
      <c r="L1035" t="s">
        <v>134</v>
      </c>
    </row>
    <row r="1036" spans="9:12" x14ac:dyDescent="0.25">
      <c r="K1036" t="s">
        <v>301</v>
      </c>
      <c r="L1036" t="s">
        <v>135</v>
      </c>
    </row>
    <row r="1037" spans="9:12" x14ac:dyDescent="0.25">
      <c r="K1037" t="s">
        <v>302</v>
      </c>
      <c r="L1037" t="s">
        <v>69</v>
      </c>
    </row>
    <row r="1038" spans="9:12" x14ac:dyDescent="0.25">
      <c r="K1038" t="s">
        <v>303</v>
      </c>
      <c r="L1038" t="s">
        <v>136</v>
      </c>
    </row>
    <row r="1039" spans="9:12" x14ac:dyDescent="0.25">
      <c r="K1039" t="s">
        <v>304</v>
      </c>
      <c r="L1039" t="s">
        <v>137</v>
      </c>
    </row>
    <row r="1040" spans="9:12" x14ac:dyDescent="0.25">
      <c r="K1040" t="s">
        <v>305</v>
      </c>
      <c r="L1040" t="s">
        <v>138</v>
      </c>
    </row>
    <row r="1041" spans="11:12" x14ac:dyDescent="0.25">
      <c r="K1041" t="s">
        <v>306</v>
      </c>
      <c r="L1041" t="s">
        <v>139</v>
      </c>
    </row>
    <row r="1042" spans="11:12" x14ac:dyDescent="0.25">
      <c r="K1042" t="s">
        <v>307</v>
      </c>
      <c r="L1042" t="s">
        <v>140</v>
      </c>
    </row>
    <row r="1043" spans="11:12" x14ac:dyDescent="0.25">
      <c r="K1043" t="s">
        <v>308</v>
      </c>
      <c r="L1043" t="s">
        <v>141</v>
      </c>
    </row>
    <row r="1044" spans="11:12" x14ac:dyDescent="0.25">
      <c r="K1044" t="s">
        <v>309</v>
      </c>
      <c r="L1044" t="s">
        <v>142</v>
      </c>
    </row>
    <row r="1045" spans="11:12" x14ac:dyDescent="0.25">
      <c r="K1045" t="s">
        <v>310</v>
      </c>
      <c r="L1045" t="s">
        <v>78</v>
      </c>
    </row>
    <row r="1046" spans="11:12" x14ac:dyDescent="0.25">
      <c r="K1046" t="s">
        <v>311</v>
      </c>
      <c r="L1046" t="s">
        <v>77</v>
      </c>
    </row>
    <row r="1047" spans="11:12" x14ac:dyDescent="0.25">
      <c r="K1047" t="s">
        <v>312</v>
      </c>
      <c r="L1047" t="s">
        <v>143</v>
      </c>
    </row>
    <row r="1048" spans="11:12" x14ac:dyDescent="0.25">
      <c r="K1048" t="s">
        <v>313</v>
      </c>
      <c r="L1048" t="s">
        <v>144</v>
      </c>
    </row>
    <row r="1049" spans="11:12" x14ac:dyDescent="0.25">
      <c r="K1049" t="s">
        <v>314</v>
      </c>
      <c r="L1049" t="s">
        <v>145</v>
      </c>
    </row>
    <row r="1050" spans="11:12" x14ac:dyDescent="0.25">
      <c r="K1050" t="s">
        <v>315</v>
      </c>
      <c r="L1050" t="s">
        <v>146</v>
      </c>
    </row>
    <row r="1051" spans="11:12" x14ac:dyDescent="0.25">
      <c r="K1051" t="s">
        <v>316</v>
      </c>
      <c r="L1051" t="s">
        <v>147</v>
      </c>
    </row>
    <row r="1052" spans="11:12" x14ac:dyDescent="0.25">
      <c r="K1052" t="s">
        <v>317</v>
      </c>
      <c r="L1052" t="s">
        <v>148</v>
      </c>
    </row>
    <row r="1053" spans="11:12" x14ac:dyDescent="0.25">
      <c r="K1053" t="s">
        <v>318</v>
      </c>
      <c r="L1053" t="s">
        <v>93</v>
      </c>
    </row>
    <row r="1054" spans="11:12" x14ac:dyDescent="0.25">
      <c r="K1054" t="s">
        <v>319</v>
      </c>
      <c r="L1054" t="s">
        <v>149</v>
      </c>
    </row>
    <row r="1055" spans="11:12" x14ac:dyDescent="0.25">
      <c r="K1055" t="s">
        <v>320</v>
      </c>
      <c r="L1055" t="s">
        <v>72</v>
      </c>
    </row>
    <row r="1056" spans="11:12" x14ac:dyDescent="0.25">
      <c r="K1056" t="s">
        <v>321</v>
      </c>
      <c r="L1056" t="s">
        <v>150</v>
      </c>
    </row>
    <row r="1057" spans="11:12" x14ac:dyDescent="0.25">
      <c r="K1057" t="s">
        <v>322</v>
      </c>
      <c r="L1057" t="s">
        <v>151</v>
      </c>
    </row>
    <row r="1058" spans="11:12" x14ac:dyDescent="0.25">
      <c r="K1058" t="s">
        <v>323</v>
      </c>
      <c r="L1058" t="s">
        <v>152</v>
      </c>
    </row>
    <row r="1059" spans="11:12" x14ac:dyDescent="0.25">
      <c r="K1059" t="s">
        <v>324</v>
      </c>
      <c r="L1059" t="s">
        <v>153</v>
      </c>
    </row>
    <row r="1060" spans="11:12" x14ac:dyDescent="0.25">
      <c r="K1060" t="s">
        <v>325</v>
      </c>
      <c r="L1060" t="s">
        <v>154</v>
      </c>
    </row>
    <row r="1061" spans="11:12" x14ac:dyDescent="0.25">
      <c r="K1061" t="s">
        <v>326</v>
      </c>
      <c r="L1061" t="s">
        <v>155</v>
      </c>
    </row>
    <row r="1062" spans="11:12" x14ac:dyDescent="0.25">
      <c r="K1062" t="s">
        <v>327</v>
      </c>
      <c r="L1062" t="s">
        <v>156</v>
      </c>
    </row>
    <row r="1063" spans="11:12" x14ac:dyDescent="0.25">
      <c r="K1063" t="s">
        <v>328</v>
      </c>
      <c r="L1063" t="s">
        <v>157</v>
      </c>
    </row>
    <row r="1064" spans="11:12" x14ac:dyDescent="0.25">
      <c r="K1064" t="s">
        <v>329</v>
      </c>
      <c r="L1064" t="s">
        <v>158</v>
      </c>
    </row>
    <row r="1065" spans="11:12" x14ac:dyDescent="0.25">
      <c r="K1065" t="s">
        <v>330</v>
      </c>
      <c r="L1065" t="s">
        <v>159</v>
      </c>
    </row>
    <row r="1066" spans="11:12" x14ac:dyDescent="0.25">
      <c r="K1066" t="s">
        <v>331</v>
      </c>
      <c r="L1066" t="s">
        <v>160</v>
      </c>
    </row>
    <row r="1067" spans="11:12" x14ac:dyDescent="0.25">
      <c r="K1067" t="s">
        <v>332</v>
      </c>
      <c r="L1067" t="s">
        <v>161</v>
      </c>
    </row>
    <row r="1068" spans="11:12" x14ac:dyDescent="0.25">
      <c r="K1068" t="s">
        <v>333</v>
      </c>
      <c r="L1068" t="s">
        <v>162</v>
      </c>
    </row>
    <row r="1069" spans="11:12" x14ac:dyDescent="0.25">
      <c r="K1069" t="s">
        <v>334</v>
      </c>
      <c r="L1069" t="s">
        <v>163</v>
      </c>
    </row>
    <row r="1070" spans="11:12" x14ac:dyDescent="0.25">
      <c r="K1070" t="s">
        <v>335</v>
      </c>
      <c r="L1070" t="s">
        <v>164</v>
      </c>
    </row>
    <row r="1071" spans="11:12" x14ac:dyDescent="0.25">
      <c r="K1071" t="s">
        <v>336</v>
      </c>
      <c r="L1071" t="s">
        <v>165</v>
      </c>
    </row>
    <row r="1072" spans="11:12" x14ac:dyDescent="0.25">
      <c r="K1072" t="s">
        <v>337</v>
      </c>
      <c r="L1072" t="s">
        <v>166</v>
      </c>
    </row>
    <row r="1073" spans="11:12" x14ac:dyDescent="0.25">
      <c r="K1073" t="s">
        <v>338</v>
      </c>
      <c r="L1073" t="s">
        <v>167</v>
      </c>
    </row>
    <row r="1074" spans="11:12" x14ac:dyDescent="0.25">
      <c r="K1074" t="s">
        <v>339</v>
      </c>
      <c r="L1074" t="s">
        <v>168</v>
      </c>
    </row>
    <row r="1075" spans="11:12" x14ac:dyDescent="0.25">
      <c r="K1075" t="s">
        <v>340</v>
      </c>
      <c r="L1075" t="s">
        <v>169</v>
      </c>
    </row>
    <row r="1076" spans="11:12" x14ac:dyDescent="0.25">
      <c r="K1076" t="s">
        <v>341</v>
      </c>
      <c r="L1076" t="s">
        <v>170</v>
      </c>
    </row>
    <row r="1077" spans="11:12" x14ac:dyDescent="0.25">
      <c r="K1077" t="s">
        <v>342</v>
      </c>
      <c r="L1077" t="s">
        <v>171</v>
      </c>
    </row>
    <row r="1078" spans="11:12" x14ac:dyDescent="0.25">
      <c r="K1078" t="s">
        <v>343</v>
      </c>
      <c r="L1078" t="s">
        <v>172</v>
      </c>
    </row>
    <row r="1079" spans="11:12" x14ac:dyDescent="0.25">
      <c r="K1079" t="s">
        <v>344</v>
      </c>
      <c r="L1079" t="s">
        <v>173</v>
      </c>
    </row>
    <row r="1080" spans="11:12" x14ac:dyDescent="0.25">
      <c r="K1080" t="s">
        <v>345</v>
      </c>
      <c r="L1080" t="s">
        <v>174</v>
      </c>
    </row>
    <row r="1081" spans="11:12" x14ac:dyDescent="0.25">
      <c r="K1081" t="s">
        <v>346</v>
      </c>
      <c r="L1081" t="s">
        <v>175</v>
      </c>
    </row>
    <row r="1082" spans="11:12" x14ac:dyDescent="0.25">
      <c r="K1082" t="s">
        <v>347</v>
      </c>
      <c r="L1082" t="s">
        <v>60</v>
      </c>
    </row>
    <row r="1083" spans="11:12" x14ac:dyDescent="0.25">
      <c r="K1083" t="s">
        <v>348</v>
      </c>
      <c r="L1083" t="s">
        <v>176</v>
      </c>
    </row>
    <row r="1084" spans="11:12" x14ac:dyDescent="0.25">
      <c r="K1084" t="s">
        <v>349</v>
      </c>
      <c r="L1084" t="s">
        <v>177</v>
      </c>
    </row>
    <row r="1085" spans="11:12" x14ac:dyDescent="0.25">
      <c r="K1085" t="s">
        <v>350</v>
      </c>
      <c r="L1085" t="s">
        <v>178</v>
      </c>
    </row>
    <row r="1086" spans="11:12" x14ac:dyDescent="0.25">
      <c r="K1086" t="s">
        <v>351</v>
      </c>
      <c r="L1086" t="s">
        <v>179</v>
      </c>
    </row>
    <row r="1087" spans="11:12" x14ac:dyDescent="0.25">
      <c r="K1087" t="s">
        <v>352</v>
      </c>
      <c r="L1087" t="s">
        <v>180</v>
      </c>
    </row>
    <row r="1088" spans="11:12" x14ac:dyDescent="0.25">
      <c r="K1088" t="s">
        <v>353</v>
      </c>
      <c r="L1088" t="s">
        <v>181</v>
      </c>
    </row>
    <row r="1089" spans="11:12" x14ac:dyDescent="0.25">
      <c r="K1089" t="s">
        <v>354</v>
      </c>
      <c r="L1089" t="s">
        <v>182</v>
      </c>
    </row>
    <row r="1090" spans="11:12" x14ac:dyDescent="0.25">
      <c r="K1090" t="s">
        <v>355</v>
      </c>
      <c r="L1090" t="s">
        <v>183</v>
      </c>
    </row>
    <row r="1091" spans="11:12" x14ac:dyDescent="0.25">
      <c r="K1091" t="s">
        <v>356</v>
      </c>
      <c r="L1091" t="s">
        <v>184</v>
      </c>
    </row>
    <row r="1092" spans="11:12" x14ac:dyDescent="0.25">
      <c r="K1092" t="s">
        <v>357</v>
      </c>
      <c r="L1092" t="s">
        <v>185</v>
      </c>
    </row>
    <row r="1093" spans="11:12" x14ac:dyDescent="0.25">
      <c r="K1093" t="s">
        <v>358</v>
      </c>
      <c r="L1093" t="s">
        <v>186</v>
      </c>
    </row>
    <row r="1094" spans="11:12" x14ac:dyDescent="0.25">
      <c r="K1094" t="s">
        <v>359</v>
      </c>
      <c r="L1094" t="s">
        <v>187</v>
      </c>
    </row>
    <row r="1095" spans="11:12" x14ac:dyDescent="0.25">
      <c r="K1095" t="s">
        <v>360</v>
      </c>
      <c r="L1095" t="s">
        <v>188</v>
      </c>
    </row>
    <row r="1096" spans="11:12" x14ac:dyDescent="0.25">
      <c r="K1096" t="s">
        <v>361</v>
      </c>
      <c r="L1096" t="s">
        <v>189</v>
      </c>
    </row>
    <row r="1097" spans="11:12" x14ac:dyDescent="0.25">
      <c r="K1097" t="s">
        <v>362</v>
      </c>
      <c r="L1097" t="s">
        <v>190</v>
      </c>
    </row>
    <row r="1098" spans="11:12" x14ac:dyDescent="0.25">
      <c r="K1098" t="s">
        <v>363</v>
      </c>
      <c r="L1098" t="s">
        <v>191</v>
      </c>
    </row>
    <row r="1099" spans="11:12" x14ac:dyDescent="0.25">
      <c r="K1099" t="s">
        <v>364</v>
      </c>
      <c r="L1099" t="s">
        <v>192</v>
      </c>
    </row>
    <row r="1100" spans="11:12" x14ac:dyDescent="0.25">
      <c r="K1100" t="s">
        <v>365</v>
      </c>
      <c r="L1100" t="s">
        <v>193</v>
      </c>
    </row>
    <row r="1101" spans="11:12" x14ac:dyDescent="0.25">
      <c r="K1101" t="s">
        <v>366</v>
      </c>
      <c r="L1101" t="s">
        <v>194</v>
      </c>
    </row>
    <row r="1102" spans="11:12" x14ac:dyDescent="0.25">
      <c r="K1102" t="s">
        <v>367</v>
      </c>
      <c r="L1102" t="s">
        <v>26</v>
      </c>
    </row>
    <row r="1103" spans="11:12" x14ac:dyDescent="0.25">
      <c r="K1103" t="s">
        <v>368</v>
      </c>
      <c r="L1103" t="s">
        <v>195</v>
      </c>
    </row>
    <row r="1104" spans="11:12" x14ac:dyDescent="0.25">
      <c r="K1104" t="s">
        <v>369</v>
      </c>
      <c r="L1104" t="s">
        <v>196</v>
      </c>
    </row>
    <row r="1105" spans="11:12" x14ac:dyDescent="0.25">
      <c r="K1105" t="s">
        <v>370</v>
      </c>
      <c r="L1105" t="s">
        <v>197</v>
      </c>
    </row>
    <row r="1106" spans="11:12" x14ac:dyDescent="0.25">
      <c r="K1106" t="s">
        <v>371</v>
      </c>
      <c r="L1106" t="s">
        <v>198</v>
      </c>
    </row>
    <row r="1107" spans="11:12" x14ac:dyDescent="0.25">
      <c r="K1107" t="s">
        <v>372</v>
      </c>
      <c r="L1107" t="s">
        <v>199</v>
      </c>
    </row>
    <row r="1108" spans="11:12" x14ac:dyDescent="0.25">
      <c r="K1108" t="s">
        <v>373</v>
      </c>
      <c r="L1108" t="s">
        <v>200</v>
      </c>
    </row>
    <row r="1109" spans="11:12" x14ac:dyDescent="0.25">
      <c r="K1109" t="s">
        <v>374</v>
      </c>
      <c r="L1109" t="s">
        <v>201</v>
      </c>
    </row>
    <row r="1110" spans="11:12" x14ac:dyDescent="0.25">
      <c r="K1110" t="s">
        <v>375</v>
      </c>
      <c r="L1110" t="s">
        <v>202</v>
      </c>
    </row>
    <row r="1111" spans="11:12" x14ac:dyDescent="0.25">
      <c r="K1111" t="s">
        <v>376</v>
      </c>
      <c r="L1111" t="s">
        <v>203</v>
      </c>
    </row>
    <row r="1112" spans="11:12" x14ac:dyDescent="0.25">
      <c r="K1112" t="s">
        <v>377</v>
      </c>
      <c r="L1112" t="s">
        <v>204</v>
      </c>
    </row>
    <row r="1113" spans="11:12" x14ac:dyDescent="0.25">
      <c r="K1113" t="s">
        <v>378</v>
      </c>
      <c r="L1113" t="s">
        <v>205</v>
      </c>
    </row>
    <row r="1114" spans="11:12" x14ac:dyDescent="0.25">
      <c r="K1114" t="s">
        <v>379</v>
      </c>
      <c r="L1114" t="s">
        <v>206</v>
      </c>
    </row>
    <row r="1115" spans="11:12" x14ac:dyDescent="0.25">
      <c r="K1115" t="s">
        <v>380</v>
      </c>
      <c r="L1115" t="s">
        <v>207</v>
      </c>
    </row>
    <row r="1116" spans="11:12" x14ac:dyDescent="0.25">
      <c r="K1116" t="s">
        <v>381</v>
      </c>
      <c r="L1116" t="s">
        <v>95</v>
      </c>
    </row>
  </sheetData>
  <dataValidations count="55">
    <dataValidation type="list" allowBlank="1" showInputMessage="1" showErrorMessage="1" sqref="J33 J29" xr:uid="{00000000-0002-0000-0300-000000000000}">
      <formula1>$R$993:$R$1001</formula1>
    </dataValidation>
    <dataValidation type="list" allowBlank="1" showInputMessage="1" showErrorMessage="1" sqref="J31" xr:uid="{00000000-0002-0000-0300-000001000000}">
      <formula1>$R$993:$R$1000</formula1>
    </dataValidation>
    <dataValidation type="list" allowBlank="1" showInputMessage="1" showErrorMessage="1" sqref="K48" xr:uid="{00000000-0002-0000-0300-000002000000}">
      <formula1>$M$1021:$M$1047</formula1>
    </dataValidation>
    <dataValidation type="list" allowBlank="1" showInputMessage="1" showErrorMessage="1" sqref="L48" xr:uid="{00000000-0002-0000-0300-000003000000}">
      <formula1>$N$1021:$N$1047</formula1>
    </dataValidation>
    <dataValidation type="list" allowBlank="1" showInputMessage="1" showErrorMessage="1" sqref="M48" xr:uid="{00000000-0002-0000-0300-000004000000}">
      <formula1>$O$1021:$O$1047</formula1>
    </dataValidation>
    <dataValidation type="list" allowBlank="1" showInputMessage="1" showErrorMessage="1" sqref="J40:J51" xr:uid="{00000000-0002-0000-0300-000005000000}">
      <formula1>$R$993:$R$999</formula1>
    </dataValidation>
    <dataValidation type="list" allowBlank="1" showInputMessage="1" showErrorMessage="1" sqref="N48" xr:uid="{00000000-0002-0000-0300-000006000000}">
      <formula1>$P$1021:$P$1047</formula1>
    </dataValidation>
    <dataValidation type="list" allowBlank="1" showInputMessage="1" showErrorMessage="1" sqref="K53" xr:uid="{00000000-0002-0000-0300-000007000000}">
      <formula1>$M$1022:$M$1048</formula1>
    </dataValidation>
    <dataValidation type="list" allowBlank="1" showInputMessage="1" showErrorMessage="1" sqref="L53" xr:uid="{00000000-0002-0000-0300-000008000000}">
      <formula1>$N$1022:$N$1048</formula1>
    </dataValidation>
    <dataValidation type="list" allowBlank="1" showInputMessage="1" showErrorMessage="1" sqref="M53" xr:uid="{00000000-0002-0000-0300-000009000000}">
      <formula1>$O$1022:$O$1048</formula1>
    </dataValidation>
    <dataValidation type="list" allowBlank="1" showInputMessage="1" showErrorMessage="1" sqref="J53" xr:uid="{00000000-0002-0000-0300-00000A000000}">
      <formula1>$R$1022:$R$1025</formula1>
    </dataValidation>
    <dataValidation type="list" allowBlank="1" showInputMessage="1" showErrorMessage="1" sqref="N53" xr:uid="{00000000-0002-0000-0300-00000B000000}">
      <formula1>$P$1022:$P$1048</formula1>
    </dataValidation>
    <dataValidation type="list" allowBlank="1" showInputMessage="1" showErrorMessage="1" sqref="K35:K36" xr:uid="{00000000-0002-0000-0300-00000C000000}">
      <formula1>$M$1023:$M$1049</formula1>
    </dataValidation>
    <dataValidation type="list" allowBlank="1" showInputMessage="1" showErrorMessage="1" sqref="L35:L36" xr:uid="{00000000-0002-0000-0300-00000D000000}">
      <formula1>$N$1023:$N$1049</formula1>
    </dataValidation>
    <dataValidation type="list" allowBlank="1" showInputMessage="1" showErrorMessage="1" sqref="M35:M36" xr:uid="{00000000-0002-0000-0300-00000E000000}">
      <formula1>$O$1023:$O$1049</formula1>
    </dataValidation>
    <dataValidation type="list" allowBlank="1" showInputMessage="1" showErrorMessage="1" sqref="N35:N36" xr:uid="{00000000-0002-0000-0300-00000F000000}">
      <formula1>$P$1024:$P$1049</formula1>
    </dataValidation>
    <dataValidation type="list" allowBlank="1" showInputMessage="1" showErrorMessage="1" sqref="J35:J36" xr:uid="{00000000-0002-0000-0300-000010000000}">
      <formula1>$R$1023:$R$1026</formula1>
    </dataValidation>
    <dataValidation type="list" allowBlank="1" showInputMessage="1" showErrorMessage="1" sqref="K34 K37 K40" xr:uid="{00000000-0002-0000-0300-000011000000}">
      <formula1>$M$1025:$M$1051</formula1>
    </dataValidation>
    <dataValidation type="list" allowBlank="1" showInputMessage="1" showErrorMessage="1" sqref="L34 L37 L40" xr:uid="{00000000-0002-0000-0300-000012000000}">
      <formula1>$N$1025:$N$1051</formula1>
    </dataValidation>
    <dataValidation type="list" allowBlank="1" showInputMessage="1" showErrorMessage="1" sqref="M34 M37 M40" xr:uid="{00000000-0002-0000-0300-000013000000}">
      <formula1>$O$1025:$O$1051</formula1>
    </dataValidation>
    <dataValidation type="list" allowBlank="1" showInputMessage="1" showErrorMessage="1" sqref="N34 N37 N40" xr:uid="{00000000-0002-0000-0300-000014000000}">
      <formula1>$P$1026:$P$1051</formula1>
    </dataValidation>
    <dataValidation type="list" allowBlank="1" showInputMessage="1" showErrorMessage="1" sqref="J34 J37" xr:uid="{00000000-0002-0000-0300-000015000000}">
      <formula1>$R$1025:$R$1028</formula1>
    </dataValidation>
    <dataValidation type="list" allowBlank="1" showInputMessage="1" showErrorMessage="1" sqref="M38:M39 M49:M52 M41:M47 M23:M33 M54:M989" xr:uid="{00000000-0002-0000-0300-000016000000}">
      <formula1>$O$993:$O$1019</formula1>
    </dataValidation>
    <dataValidation type="list" allowBlank="1" showInputMessage="1" showErrorMessage="1" sqref="N41:N42 N49:N52 N44:N47 N38:N39 N54:N991" xr:uid="{00000000-0002-0000-0300-000017000000}">
      <formula1>$P$993:$P$1019</formula1>
    </dataValidation>
    <dataValidation type="list" allowBlank="1" showInputMessage="1" showErrorMessage="1" sqref="N13" xr:uid="{00000000-0002-0000-0300-000018000000}">
      <formula1>$P$993:$P$1018</formula1>
    </dataValidation>
    <dataValidation type="list" allowBlank="1" showInputMessage="1" showErrorMessage="1" sqref="M13" xr:uid="{00000000-0002-0000-0300-000019000000}">
      <formula1>$O$993:$O$1018</formula1>
    </dataValidation>
    <dataValidation type="list" allowBlank="1" showInputMessage="1" showErrorMessage="1" sqref="L13" xr:uid="{00000000-0002-0000-0300-00001A000000}">
      <formula1>$N$993:$N$1018</formula1>
    </dataValidation>
    <dataValidation type="list" allowBlank="1" showInputMessage="1" showErrorMessage="1" sqref="K13" xr:uid="{00000000-0002-0000-0300-00001B000000}">
      <formula1>$M$993:$M$1018</formula1>
    </dataValidation>
    <dataValidation type="list" allowBlank="1" showInputMessage="1" showErrorMessage="1" sqref="N43 N23:N33" xr:uid="{00000000-0002-0000-0300-00001C000000}">
      <formula1>$P$994:$P$1019</formula1>
    </dataValidation>
    <dataValidation type="list" allowBlank="1" showInputMessage="1" showErrorMessage="1" sqref="J32 J54 J52 J27:J28" xr:uid="{00000000-0002-0000-0300-00001D000000}">
      <formula1>$R$993:$R$996</formula1>
    </dataValidation>
    <dataValidation type="list" allowBlank="1" showInputMessage="1" showErrorMessage="1" sqref="K55" xr:uid="{00000000-0002-0000-0300-00001E000000}">
      <formula1>$M$977:$M$1003</formula1>
    </dataValidation>
    <dataValidation type="list" allowBlank="1" showInputMessage="1" showErrorMessage="1" sqref="L55" xr:uid="{00000000-0002-0000-0300-00001F000000}">
      <formula1>$N$977:$N$1003</formula1>
    </dataValidation>
    <dataValidation type="list" allowBlank="1" showInputMessage="1" showErrorMessage="1" sqref="J55" xr:uid="{00000000-0002-0000-0300-000020000000}">
      <formula1>$R$977:$R$981</formula1>
    </dataValidation>
    <dataValidation type="list" allowBlank="1" showInputMessage="1" showErrorMessage="1" sqref="K56:K989 K49:K52 K41:K47 K23:K33 K54 K38:K39" xr:uid="{00000000-0002-0000-0300-000021000000}">
      <formula1>$M$993:$M$1019</formula1>
    </dataValidation>
    <dataValidation type="list" allowBlank="1" showInputMessage="1" showErrorMessage="1" sqref="L56:L989 L49:L52 L41:L47 L23:L33 L54 L38:L39" xr:uid="{00000000-0002-0000-0300-000022000000}">
      <formula1>$N$993:$N$1019</formula1>
    </dataValidation>
    <dataValidation type="list" allowBlank="1" showInputMessage="1" showErrorMessage="1" sqref="J56:J990" xr:uid="{00000000-0002-0000-0300-000023000000}">
      <formula1>$R$993:$R$997</formula1>
    </dataValidation>
    <dataValidation type="list" allowBlank="1" showInputMessage="1" showErrorMessage="1" sqref="J13 J23:J26" xr:uid="{00000000-0002-0000-0300-000024000000}">
      <formula1>$R$993:$R$995</formula1>
    </dataValidation>
    <dataValidation type="list" allowBlank="1" showInputMessage="1" showErrorMessage="1" sqref="J30 J38:J39" xr:uid="{00000000-0002-0000-0300-000025000000}">
      <formula1>$R$993:$R$998</formula1>
    </dataValidation>
    <dataValidation type="list" allowBlank="1" showInputMessage="1" showErrorMessage="1" sqref="J20 J22" xr:uid="{00000000-0002-0000-0300-000026000000}">
      <formula1>$R$1015:$R$1020</formula1>
    </dataValidation>
    <dataValidation type="list" allowBlank="1" showInputMessage="1" showErrorMessage="1" sqref="J21 J14:J19" xr:uid="{00000000-0002-0000-0300-000027000000}">
      <formula1>$R$1015:$R$1017</formula1>
    </dataValidation>
    <dataValidation type="list" allowBlank="1" showInputMessage="1" showErrorMessage="1" sqref="K14:K18" xr:uid="{00000000-0002-0000-0300-000028000000}">
      <formula1>$M$1015:$M$1040</formula1>
    </dataValidation>
    <dataValidation type="list" allowBlank="1" showInputMessage="1" showErrorMessage="1" sqref="L14:L19" xr:uid="{00000000-0002-0000-0300-000029000000}">
      <formula1>$N$1015:$N$1040</formula1>
    </dataValidation>
    <dataValidation type="list" allowBlank="1" showInputMessage="1" showErrorMessage="1" sqref="M19:M22" xr:uid="{00000000-0002-0000-0300-00002A000000}">
      <formula1>$O$1015:$O$1041</formula1>
    </dataValidation>
    <dataValidation type="list" allowBlank="1" showInputMessage="1" showErrorMessage="1" sqref="L20:L22" xr:uid="{00000000-0002-0000-0300-00002B000000}">
      <formula1>$N$1015:$N$1041</formula1>
    </dataValidation>
    <dataValidation type="list" allowBlank="1" showInputMessage="1" showErrorMessage="1" sqref="K19:K22" xr:uid="{00000000-0002-0000-0300-00002C000000}">
      <formula1>$M$1015:$M$1041</formula1>
    </dataValidation>
    <dataValidation type="list" allowBlank="1" showInputMessage="1" showErrorMessage="1" sqref="M14:M18" xr:uid="{00000000-0002-0000-0300-00002D000000}">
      <formula1>$O$1015:$O$1040</formula1>
    </dataValidation>
    <dataValidation type="list" allowBlank="1" showInputMessage="1" showErrorMessage="1" sqref="N14:N19" xr:uid="{00000000-0002-0000-0300-00002E000000}">
      <formula1>$P$1015:$P$1040</formula1>
    </dataValidation>
    <dataValidation type="list" allowBlank="1" showInputMessage="1" showErrorMessage="1" sqref="N20:N22" xr:uid="{00000000-0002-0000-0300-00002F000000}">
      <formula1>$P$1016:$P$1041</formula1>
    </dataValidation>
    <dataValidation type="list" allowBlank="1" showInputMessage="1" showErrorMessage="1" sqref="J5 J2:J3" xr:uid="{00000000-0002-0000-0300-000030000000}">
      <formula1>$R$1001:$R$1007</formula1>
    </dataValidation>
    <dataValidation type="list" allowBlank="1" showInputMessage="1" showErrorMessage="1" sqref="J9:J10 J4 J6:J7" xr:uid="{00000000-0002-0000-0300-000031000000}">
      <formula1>$R$1001:$R$1006</formula1>
    </dataValidation>
    <dataValidation type="list" allowBlank="1" showInputMessage="1" showErrorMessage="1" sqref="N2:N12" xr:uid="{00000000-0002-0000-0300-000032000000}">
      <formula1>$P$1001:$P$1026</formula1>
    </dataValidation>
    <dataValidation type="list" allowBlank="1" showInputMessage="1" showErrorMessage="1" sqref="M2:M12" xr:uid="{00000000-0002-0000-0300-000033000000}">
      <formula1>$O$1001:$O$1026</formula1>
    </dataValidation>
    <dataValidation type="list" allowBlank="1" showInputMessage="1" showErrorMessage="1" sqref="L2:L12" xr:uid="{00000000-0002-0000-0300-000034000000}">
      <formula1>$N$1001:$N$1026</formula1>
    </dataValidation>
    <dataValidation type="list" allowBlank="1" showInputMessage="1" showErrorMessage="1" sqref="K2:K12" xr:uid="{00000000-0002-0000-0300-000035000000}">
      <formula1>$M$1001:$M$1026</formula1>
    </dataValidation>
    <dataValidation type="list" allowBlank="1" showInputMessage="1" showErrorMessage="1" sqref="J11:J12 J8" xr:uid="{00000000-0002-0000-0300-000036000000}">
      <formula1>$R$1001:$R$1003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1097"/>
  <sheetViews>
    <sheetView workbookViewId="0">
      <pane xSplit="8295" ySplit="600" topLeftCell="A10" activePane="bottomRight"/>
      <selection activeCell="T2" sqref="T2"/>
      <selection pane="topRight" activeCell="T2" sqref="T2"/>
      <selection pane="bottomLeft" activeCell="T2" sqref="T2"/>
      <selection pane="bottomRight" activeCell="T2" sqref="T2"/>
    </sheetView>
  </sheetViews>
  <sheetFormatPr defaultRowHeight="15" x14ac:dyDescent="0.25"/>
  <cols>
    <col min="1" max="1" width="6.7109375" customWidth="1"/>
    <col min="2" max="2" width="8.5703125" customWidth="1"/>
    <col min="3" max="3" width="7.85546875" customWidth="1"/>
    <col min="4" max="4" width="16.85546875" customWidth="1"/>
    <col min="5" max="5" width="7.7109375" customWidth="1"/>
    <col min="6" max="6" width="12.7109375" customWidth="1"/>
    <col min="7" max="7" width="14.85546875" customWidth="1"/>
    <col min="8" max="8" width="7.42578125" customWidth="1"/>
    <col min="9" max="10" width="9.85546875" customWidth="1"/>
    <col min="11" max="11" width="25.28515625" customWidth="1"/>
    <col min="12" max="12" width="9.140625" customWidth="1"/>
    <col min="13" max="13" width="22.85546875" customWidth="1"/>
    <col min="14" max="14" width="9.85546875" customWidth="1"/>
    <col min="15" max="16" width="6.42578125" customWidth="1"/>
    <col min="17" max="18" width="34.5703125" customWidth="1"/>
    <col min="19" max="19" width="23" customWidth="1"/>
    <col min="20" max="20" width="19.5703125" customWidth="1"/>
  </cols>
  <sheetData>
    <row r="1" spans="1:20" x14ac:dyDescent="0.25">
      <c r="A1" s="1" t="s">
        <v>414</v>
      </c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432</v>
      </c>
      <c r="K1" s="1" t="s">
        <v>426</v>
      </c>
      <c r="L1" s="1" t="s">
        <v>425</v>
      </c>
      <c r="M1" s="1" t="s">
        <v>427</v>
      </c>
      <c r="N1" s="1" t="s">
        <v>428</v>
      </c>
      <c r="O1" s="1" t="s">
        <v>429</v>
      </c>
      <c r="P1" s="1" t="s">
        <v>430</v>
      </c>
      <c r="Q1" s="1" t="s">
        <v>472</v>
      </c>
      <c r="R1" s="1" t="s">
        <v>431</v>
      </c>
      <c r="S1" s="1" t="s">
        <v>423</v>
      </c>
      <c r="T1" s="1" t="s">
        <v>424</v>
      </c>
    </row>
    <row r="2" spans="1:20" x14ac:dyDescent="0.25">
      <c r="A2" t="s">
        <v>746</v>
      </c>
      <c r="B2" t="s">
        <v>387</v>
      </c>
      <c r="C2" t="s">
        <v>154</v>
      </c>
      <c r="J2" t="s">
        <v>436</v>
      </c>
      <c r="K2" t="s">
        <v>442</v>
      </c>
      <c r="L2" t="s">
        <v>408</v>
      </c>
      <c r="M2" t="s">
        <v>461</v>
      </c>
      <c r="N2" t="s">
        <v>397</v>
      </c>
      <c r="R2" t="s">
        <v>744</v>
      </c>
      <c r="S2" t="s">
        <v>648</v>
      </c>
      <c r="T2" t="s">
        <v>1020</v>
      </c>
    </row>
    <row r="3" spans="1:20" x14ac:dyDescent="0.25">
      <c r="A3" t="s">
        <v>746</v>
      </c>
      <c r="B3" t="s">
        <v>387</v>
      </c>
      <c r="C3" t="s">
        <v>154</v>
      </c>
      <c r="D3" t="s">
        <v>548</v>
      </c>
      <c r="E3" t="s">
        <v>557</v>
      </c>
      <c r="J3" t="s">
        <v>434</v>
      </c>
      <c r="K3" t="s">
        <v>442</v>
      </c>
      <c r="L3" t="s">
        <v>408</v>
      </c>
      <c r="M3" t="s">
        <v>563</v>
      </c>
      <c r="N3" t="s">
        <v>564</v>
      </c>
      <c r="Q3" t="s">
        <v>572</v>
      </c>
      <c r="R3" t="s">
        <v>743</v>
      </c>
      <c r="S3" t="s">
        <v>648</v>
      </c>
      <c r="T3" t="s">
        <v>1020</v>
      </c>
    </row>
    <row r="4" spans="1:20" x14ac:dyDescent="0.25">
      <c r="A4" t="s">
        <v>746</v>
      </c>
      <c r="B4" t="s">
        <v>387</v>
      </c>
      <c r="C4" t="s">
        <v>154</v>
      </c>
      <c r="D4" t="s">
        <v>549</v>
      </c>
      <c r="E4" t="s">
        <v>558</v>
      </c>
      <c r="J4" t="s">
        <v>436</v>
      </c>
      <c r="K4" t="s">
        <v>442</v>
      </c>
      <c r="L4" t="s">
        <v>408</v>
      </c>
      <c r="M4" t="s">
        <v>563</v>
      </c>
      <c r="N4" t="s">
        <v>564</v>
      </c>
      <c r="Q4" t="s">
        <v>573</v>
      </c>
      <c r="R4" t="s">
        <v>742</v>
      </c>
      <c r="S4" t="s">
        <v>648</v>
      </c>
      <c r="T4" t="s">
        <v>1020</v>
      </c>
    </row>
    <row r="5" spans="1:20" x14ac:dyDescent="0.25">
      <c r="A5" t="s">
        <v>746</v>
      </c>
      <c r="B5" t="s">
        <v>387</v>
      </c>
      <c r="C5" t="s">
        <v>154</v>
      </c>
      <c r="D5" t="s">
        <v>549</v>
      </c>
      <c r="E5" t="s">
        <v>558</v>
      </c>
      <c r="F5" t="s">
        <v>574</v>
      </c>
      <c r="G5" t="s">
        <v>575</v>
      </c>
      <c r="J5" t="s">
        <v>436</v>
      </c>
      <c r="K5" t="s">
        <v>563</v>
      </c>
      <c r="L5" t="s">
        <v>564</v>
      </c>
      <c r="Q5" t="s">
        <v>576</v>
      </c>
      <c r="R5" t="s">
        <v>741</v>
      </c>
      <c r="S5" t="s">
        <v>648</v>
      </c>
      <c r="T5" t="s">
        <v>1020</v>
      </c>
    </row>
    <row r="6" spans="1:20" x14ac:dyDescent="0.25">
      <c r="A6" t="s">
        <v>746</v>
      </c>
      <c r="B6" t="s">
        <v>578</v>
      </c>
      <c r="C6" t="s">
        <v>577</v>
      </c>
      <c r="J6" t="s">
        <v>436</v>
      </c>
      <c r="K6" t="s">
        <v>443</v>
      </c>
      <c r="L6" t="s">
        <v>405</v>
      </c>
      <c r="M6" t="s">
        <v>449</v>
      </c>
      <c r="N6" t="s">
        <v>402</v>
      </c>
      <c r="Q6" t="s">
        <v>579</v>
      </c>
      <c r="R6" t="s">
        <v>820</v>
      </c>
      <c r="S6" t="s">
        <v>667</v>
      </c>
      <c r="T6" t="s">
        <v>1020</v>
      </c>
    </row>
    <row r="7" spans="1:20" x14ac:dyDescent="0.25">
      <c r="A7" t="s">
        <v>746</v>
      </c>
      <c r="B7" t="s">
        <v>578</v>
      </c>
      <c r="C7" t="s">
        <v>577</v>
      </c>
      <c r="D7" t="s">
        <v>581</v>
      </c>
      <c r="E7" t="s">
        <v>582</v>
      </c>
      <c r="J7" t="s">
        <v>583</v>
      </c>
      <c r="K7" t="s">
        <v>445</v>
      </c>
      <c r="L7" t="s">
        <v>407</v>
      </c>
      <c r="M7" t="s">
        <v>450</v>
      </c>
      <c r="N7" t="s">
        <v>400</v>
      </c>
      <c r="Q7" t="s">
        <v>584</v>
      </c>
      <c r="R7" t="s">
        <v>819</v>
      </c>
      <c r="S7" t="s">
        <v>650</v>
      </c>
      <c r="T7" t="s">
        <v>1020</v>
      </c>
    </row>
    <row r="8" spans="1:20" x14ac:dyDescent="0.25">
      <c r="A8" t="s">
        <v>746</v>
      </c>
      <c r="B8" t="s">
        <v>578</v>
      </c>
      <c r="C8" t="s">
        <v>577</v>
      </c>
      <c r="D8" t="s">
        <v>585</v>
      </c>
      <c r="E8" t="s">
        <v>586</v>
      </c>
      <c r="J8" t="s">
        <v>436</v>
      </c>
      <c r="K8" t="s">
        <v>449</v>
      </c>
      <c r="L8" t="s">
        <v>402</v>
      </c>
      <c r="Q8" t="s">
        <v>587</v>
      </c>
      <c r="R8" t="s">
        <v>818</v>
      </c>
      <c r="S8" t="s">
        <v>666</v>
      </c>
      <c r="T8" t="s">
        <v>1020</v>
      </c>
    </row>
    <row r="9" spans="1:20" x14ac:dyDescent="0.25">
      <c r="A9" t="s">
        <v>746</v>
      </c>
      <c r="B9" t="s">
        <v>588</v>
      </c>
      <c r="C9" t="s">
        <v>589</v>
      </c>
      <c r="J9" t="s">
        <v>757</v>
      </c>
      <c r="K9" t="s">
        <v>443</v>
      </c>
      <c r="L9" t="s">
        <v>405</v>
      </c>
      <c r="M9" t="s">
        <v>450</v>
      </c>
      <c r="N9" t="s">
        <v>400</v>
      </c>
      <c r="R9" t="s">
        <v>817</v>
      </c>
      <c r="S9" t="s">
        <v>580</v>
      </c>
      <c r="T9" t="s">
        <v>1020</v>
      </c>
    </row>
    <row r="10" spans="1:20" x14ac:dyDescent="0.25">
      <c r="A10" t="s">
        <v>746</v>
      </c>
      <c r="B10" t="s">
        <v>588</v>
      </c>
      <c r="C10" t="s">
        <v>589</v>
      </c>
      <c r="D10" t="s">
        <v>590</v>
      </c>
      <c r="E10" t="s">
        <v>591</v>
      </c>
      <c r="J10" t="s">
        <v>702</v>
      </c>
      <c r="K10" t="s">
        <v>443</v>
      </c>
      <c r="L10" t="s">
        <v>405</v>
      </c>
      <c r="Q10" t="s">
        <v>592</v>
      </c>
      <c r="R10" t="s">
        <v>740</v>
      </c>
      <c r="S10" t="s">
        <v>580</v>
      </c>
      <c r="T10" t="s">
        <v>1020</v>
      </c>
    </row>
    <row r="11" spans="1:20" x14ac:dyDescent="0.25">
      <c r="A11" t="s">
        <v>746</v>
      </c>
      <c r="B11" t="s">
        <v>588</v>
      </c>
      <c r="C11" t="s">
        <v>589</v>
      </c>
      <c r="D11" t="s">
        <v>593</v>
      </c>
      <c r="E11" t="s">
        <v>594</v>
      </c>
      <c r="J11" t="s">
        <v>753</v>
      </c>
      <c r="K11" t="s">
        <v>443</v>
      </c>
      <c r="L11" t="s">
        <v>405</v>
      </c>
      <c r="M11" t="s">
        <v>451</v>
      </c>
      <c r="N11" t="s">
        <v>401</v>
      </c>
      <c r="Q11" t="s">
        <v>595</v>
      </c>
      <c r="R11" t="s">
        <v>816</v>
      </c>
      <c r="S11" t="s">
        <v>669</v>
      </c>
      <c r="T11" t="s">
        <v>1020</v>
      </c>
    </row>
    <row r="12" spans="1:20" x14ac:dyDescent="0.25">
      <c r="A12" t="s">
        <v>746</v>
      </c>
      <c r="B12" t="s">
        <v>588</v>
      </c>
      <c r="C12" t="s">
        <v>589</v>
      </c>
      <c r="D12" t="s">
        <v>596</v>
      </c>
      <c r="E12" t="s">
        <v>597</v>
      </c>
      <c r="J12" t="s">
        <v>434</v>
      </c>
      <c r="K12" t="s">
        <v>450</v>
      </c>
      <c r="L12" t="s">
        <v>400</v>
      </c>
      <c r="M12" t="s">
        <v>445</v>
      </c>
      <c r="N12" t="s">
        <v>407</v>
      </c>
      <c r="Q12" t="s">
        <v>598</v>
      </c>
      <c r="R12" t="s">
        <v>739</v>
      </c>
      <c r="S12" t="s">
        <v>668</v>
      </c>
      <c r="T12" t="s">
        <v>1020</v>
      </c>
    </row>
    <row r="13" spans="1:20" x14ac:dyDescent="0.25">
      <c r="A13" t="s">
        <v>746</v>
      </c>
      <c r="B13" t="s">
        <v>588</v>
      </c>
      <c r="C13" t="s">
        <v>589</v>
      </c>
      <c r="D13" t="s">
        <v>599</v>
      </c>
      <c r="E13" t="s">
        <v>28</v>
      </c>
      <c r="J13" t="s">
        <v>757</v>
      </c>
      <c r="K13" t="s">
        <v>449</v>
      </c>
      <c r="L13" t="s">
        <v>400</v>
      </c>
      <c r="M13" t="s">
        <v>450</v>
      </c>
      <c r="N13" t="s">
        <v>400</v>
      </c>
      <c r="Q13" t="s">
        <v>600</v>
      </c>
      <c r="R13" t="s">
        <v>815</v>
      </c>
      <c r="S13" t="s">
        <v>580</v>
      </c>
      <c r="T13" t="s">
        <v>1020</v>
      </c>
    </row>
    <row r="14" spans="1:20" x14ac:dyDescent="0.25">
      <c r="A14" t="s">
        <v>746</v>
      </c>
      <c r="B14" t="s">
        <v>601</v>
      </c>
      <c r="C14" t="s">
        <v>602</v>
      </c>
      <c r="J14" t="s">
        <v>434</v>
      </c>
      <c r="K14" t="s">
        <v>449</v>
      </c>
      <c r="L14" t="s">
        <v>402</v>
      </c>
      <c r="M14" t="s">
        <v>443</v>
      </c>
      <c r="N14" t="s">
        <v>405</v>
      </c>
      <c r="R14" t="s">
        <v>738</v>
      </c>
      <c r="S14" t="s">
        <v>670</v>
      </c>
      <c r="T14" t="s">
        <v>1020</v>
      </c>
    </row>
    <row r="15" spans="1:20" x14ac:dyDescent="0.25">
      <c r="A15" t="s">
        <v>746</v>
      </c>
      <c r="B15" t="s">
        <v>601</v>
      </c>
      <c r="C15" t="s">
        <v>602</v>
      </c>
      <c r="D15" t="s">
        <v>603</v>
      </c>
      <c r="E15" t="s">
        <v>604</v>
      </c>
      <c r="J15" t="s">
        <v>434</v>
      </c>
      <c r="K15" t="s">
        <v>449</v>
      </c>
      <c r="L15" t="s">
        <v>402</v>
      </c>
      <c r="M15" t="s">
        <v>443</v>
      </c>
      <c r="N15" t="s">
        <v>405</v>
      </c>
      <c r="R15" t="s">
        <v>737</v>
      </c>
      <c r="S15" t="s">
        <v>672</v>
      </c>
      <c r="T15" t="s">
        <v>1020</v>
      </c>
    </row>
    <row r="16" spans="1:20" x14ac:dyDescent="0.25">
      <c r="A16" t="s">
        <v>746</v>
      </c>
      <c r="B16" t="s">
        <v>601</v>
      </c>
      <c r="C16" t="s">
        <v>602</v>
      </c>
      <c r="D16" t="s">
        <v>605</v>
      </c>
      <c r="E16" t="s">
        <v>606</v>
      </c>
      <c r="J16" t="s">
        <v>434</v>
      </c>
      <c r="K16" t="s">
        <v>449</v>
      </c>
      <c r="L16" t="s">
        <v>402</v>
      </c>
      <c r="M16" t="s">
        <v>443</v>
      </c>
      <c r="N16" t="s">
        <v>405</v>
      </c>
      <c r="Q16" t="s">
        <v>607</v>
      </c>
      <c r="R16" t="s">
        <v>736</v>
      </c>
      <c r="S16" t="s">
        <v>671</v>
      </c>
      <c r="T16" t="s">
        <v>1020</v>
      </c>
    </row>
    <row r="17" spans="1:20" x14ac:dyDescent="0.25">
      <c r="A17" t="s">
        <v>746</v>
      </c>
      <c r="B17" t="s">
        <v>608</v>
      </c>
      <c r="C17" t="s">
        <v>609</v>
      </c>
      <c r="J17" t="s">
        <v>434</v>
      </c>
      <c r="K17" t="s">
        <v>437</v>
      </c>
      <c r="L17" t="s">
        <v>409</v>
      </c>
      <c r="M17" t="s">
        <v>563</v>
      </c>
      <c r="N17" t="s">
        <v>564</v>
      </c>
      <c r="Q17" t="s">
        <v>610</v>
      </c>
      <c r="R17" t="s">
        <v>814</v>
      </c>
      <c r="S17" t="s">
        <v>673</v>
      </c>
      <c r="T17" t="s">
        <v>1020</v>
      </c>
    </row>
    <row r="18" spans="1:20" x14ac:dyDescent="0.25">
      <c r="A18" t="s">
        <v>746</v>
      </c>
      <c r="B18" t="s">
        <v>608</v>
      </c>
      <c r="C18" t="s">
        <v>609</v>
      </c>
      <c r="D18" t="s">
        <v>718</v>
      </c>
      <c r="E18" t="s">
        <v>720</v>
      </c>
      <c r="J18" t="s">
        <v>434</v>
      </c>
      <c r="K18" t="s">
        <v>437</v>
      </c>
      <c r="L18" t="s">
        <v>409</v>
      </c>
      <c r="M18" t="s">
        <v>563</v>
      </c>
      <c r="N18" t="s">
        <v>564</v>
      </c>
      <c r="Q18" t="s">
        <v>470</v>
      </c>
      <c r="R18" t="s">
        <v>735</v>
      </c>
      <c r="S18" t="s">
        <v>673</v>
      </c>
      <c r="T18" t="s">
        <v>1020</v>
      </c>
    </row>
    <row r="19" spans="1:20" x14ac:dyDescent="0.25">
      <c r="A19" t="s">
        <v>746</v>
      </c>
      <c r="B19" t="s">
        <v>608</v>
      </c>
      <c r="D19" t="s">
        <v>719</v>
      </c>
      <c r="E19" t="s">
        <v>721</v>
      </c>
      <c r="J19" t="s">
        <v>434</v>
      </c>
      <c r="K19" t="s">
        <v>437</v>
      </c>
      <c r="L19" t="s">
        <v>409</v>
      </c>
      <c r="M19" t="s">
        <v>563</v>
      </c>
      <c r="N19" t="s">
        <v>564</v>
      </c>
      <c r="Q19" t="s">
        <v>722</v>
      </c>
      <c r="R19" t="s">
        <v>734</v>
      </c>
      <c r="S19" t="s">
        <v>673</v>
      </c>
      <c r="T19" t="s">
        <v>1020</v>
      </c>
    </row>
    <row r="20" spans="1:20" x14ac:dyDescent="0.25">
      <c r="A20" t="s">
        <v>746</v>
      </c>
      <c r="B20" t="s">
        <v>611</v>
      </c>
      <c r="C20" t="s">
        <v>383</v>
      </c>
      <c r="J20" t="s">
        <v>756</v>
      </c>
      <c r="K20" t="s">
        <v>439</v>
      </c>
      <c r="L20" t="s">
        <v>410</v>
      </c>
      <c r="M20" t="s">
        <v>443</v>
      </c>
      <c r="N20" t="s">
        <v>405</v>
      </c>
      <c r="Q20" t="s">
        <v>612</v>
      </c>
      <c r="R20" t="s">
        <v>813</v>
      </c>
      <c r="S20" t="s">
        <v>674</v>
      </c>
      <c r="T20" t="s">
        <v>1020</v>
      </c>
    </row>
    <row r="21" spans="1:20" x14ac:dyDescent="0.25">
      <c r="A21" t="s">
        <v>746</v>
      </c>
      <c r="B21" t="s">
        <v>611</v>
      </c>
      <c r="C21" t="s">
        <v>383</v>
      </c>
      <c r="D21" t="s">
        <v>724</v>
      </c>
      <c r="E21" t="s">
        <v>726</v>
      </c>
      <c r="J21" t="s">
        <v>756</v>
      </c>
      <c r="K21" t="s">
        <v>441</v>
      </c>
      <c r="L21" t="s">
        <v>412</v>
      </c>
      <c r="M21" t="s">
        <v>462</v>
      </c>
      <c r="N21" t="s">
        <v>398</v>
      </c>
      <c r="Q21" t="s">
        <v>729</v>
      </c>
      <c r="R21" t="s">
        <v>733</v>
      </c>
      <c r="S21" t="s">
        <v>674</v>
      </c>
      <c r="T21" t="s">
        <v>1020</v>
      </c>
    </row>
    <row r="22" spans="1:20" x14ac:dyDescent="0.25">
      <c r="A22" t="s">
        <v>746</v>
      </c>
      <c r="B22" t="s">
        <v>611</v>
      </c>
      <c r="C22" t="s">
        <v>383</v>
      </c>
      <c r="D22" t="s">
        <v>723</v>
      </c>
      <c r="E22" t="s">
        <v>725</v>
      </c>
      <c r="J22" t="s">
        <v>756</v>
      </c>
      <c r="K22" t="s">
        <v>439</v>
      </c>
      <c r="L22" t="s">
        <v>410</v>
      </c>
      <c r="M22" t="s">
        <v>438</v>
      </c>
      <c r="N22" t="s">
        <v>413</v>
      </c>
      <c r="Q22" t="s">
        <v>730</v>
      </c>
      <c r="R22" t="s">
        <v>732</v>
      </c>
      <c r="S22" t="s">
        <v>674</v>
      </c>
      <c r="T22" t="s">
        <v>1020</v>
      </c>
    </row>
    <row r="23" spans="1:20" x14ac:dyDescent="0.25">
      <c r="A23" t="s">
        <v>746</v>
      </c>
      <c r="D23" t="s">
        <v>613</v>
      </c>
      <c r="E23" t="s">
        <v>115</v>
      </c>
      <c r="J23" t="s">
        <v>756</v>
      </c>
      <c r="K23" t="s">
        <v>449</v>
      </c>
      <c r="L23" t="s">
        <v>402</v>
      </c>
      <c r="M23" t="s">
        <v>563</v>
      </c>
      <c r="N23" t="s">
        <v>564</v>
      </c>
      <c r="Q23" t="s">
        <v>614</v>
      </c>
      <c r="R23" t="s">
        <v>812</v>
      </c>
      <c r="S23" t="s">
        <v>646</v>
      </c>
      <c r="T23" t="s">
        <v>1020</v>
      </c>
    </row>
    <row r="24" spans="1:20" x14ac:dyDescent="0.25">
      <c r="A24" t="s">
        <v>746</v>
      </c>
      <c r="B24" t="s">
        <v>615</v>
      </c>
      <c r="C24" t="s">
        <v>160</v>
      </c>
      <c r="J24" t="s">
        <v>756</v>
      </c>
      <c r="K24" t="s">
        <v>563</v>
      </c>
      <c r="L24" t="s">
        <v>564</v>
      </c>
      <c r="M24" t="s">
        <v>437</v>
      </c>
      <c r="N24" t="s">
        <v>409</v>
      </c>
      <c r="Q24" t="s">
        <v>616</v>
      </c>
      <c r="R24" t="s">
        <v>810</v>
      </c>
      <c r="S24" t="s">
        <v>580</v>
      </c>
      <c r="T24" t="s">
        <v>1020</v>
      </c>
    </row>
    <row r="25" spans="1:20" x14ac:dyDescent="0.25">
      <c r="A25" t="s">
        <v>746</v>
      </c>
      <c r="D25" t="s">
        <v>617</v>
      </c>
      <c r="E25" t="s">
        <v>618</v>
      </c>
      <c r="J25" t="s">
        <v>756</v>
      </c>
      <c r="K25" t="s">
        <v>449</v>
      </c>
      <c r="L25" t="s">
        <v>402</v>
      </c>
      <c r="M25" t="s">
        <v>446</v>
      </c>
      <c r="N25" t="s">
        <v>399</v>
      </c>
      <c r="Q25" t="s">
        <v>619</v>
      </c>
      <c r="R25" t="s">
        <v>811</v>
      </c>
      <c r="S25" t="s">
        <v>666</v>
      </c>
      <c r="T25" t="s">
        <v>1020</v>
      </c>
    </row>
    <row r="26" spans="1:20" x14ac:dyDescent="0.25">
      <c r="A26" t="s">
        <v>746</v>
      </c>
      <c r="D26" t="s">
        <v>620</v>
      </c>
      <c r="E26" t="s">
        <v>621</v>
      </c>
      <c r="J26" t="s">
        <v>756</v>
      </c>
      <c r="K26" t="s">
        <v>446</v>
      </c>
      <c r="L26" t="s">
        <v>399</v>
      </c>
      <c r="M26" t="s">
        <v>443</v>
      </c>
      <c r="N26" t="s">
        <v>405</v>
      </c>
      <c r="Q26" t="s">
        <v>622</v>
      </c>
      <c r="R26" t="s">
        <v>809</v>
      </c>
      <c r="S26" t="s">
        <v>580</v>
      </c>
      <c r="T26" t="s">
        <v>1020</v>
      </c>
    </row>
    <row r="27" spans="1:20" x14ac:dyDescent="0.25">
      <c r="A27" t="s">
        <v>746</v>
      </c>
      <c r="B27" t="s">
        <v>623</v>
      </c>
      <c r="C27" t="s">
        <v>624</v>
      </c>
      <c r="J27" t="s">
        <v>756</v>
      </c>
      <c r="K27" t="s">
        <v>437</v>
      </c>
      <c r="L27" t="s">
        <v>409</v>
      </c>
      <c r="M27" t="s">
        <v>563</v>
      </c>
      <c r="N27" t="s">
        <v>564</v>
      </c>
      <c r="Q27" t="s">
        <v>625</v>
      </c>
      <c r="R27" t="s">
        <v>807</v>
      </c>
      <c r="S27" t="s">
        <v>580</v>
      </c>
      <c r="T27" t="s">
        <v>1020</v>
      </c>
    </row>
    <row r="28" spans="1:20" x14ac:dyDescent="0.25">
      <c r="A28" t="s">
        <v>746</v>
      </c>
      <c r="C28" t="s">
        <v>624</v>
      </c>
      <c r="D28" t="s">
        <v>626</v>
      </c>
      <c r="E28" t="s">
        <v>150</v>
      </c>
      <c r="J28" t="s">
        <v>756</v>
      </c>
      <c r="K28" t="s">
        <v>437</v>
      </c>
      <c r="L28" t="s">
        <v>409</v>
      </c>
      <c r="M28" t="s">
        <v>563</v>
      </c>
      <c r="N28" t="s">
        <v>564</v>
      </c>
      <c r="Q28" t="s">
        <v>470</v>
      </c>
      <c r="R28" t="s">
        <v>808</v>
      </c>
      <c r="S28" t="s">
        <v>580</v>
      </c>
      <c r="T28" t="s">
        <v>1020</v>
      </c>
    </row>
    <row r="29" spans="1:20" x14ac:dyDescent="0.25">
      <c r="A29" t="s">
        <v>746</v>
      </c>
      <c r="B29" t="s">
        <v>627</v>
      </c>
      <c r="C29" t="s">
        <v>628</v>
      </c>
      <c r="J29" t="s">
        <v>756</v>
      </c>
      <c r="K29" t="s">
        <v>437</v>
      </c>
      <c r="L29" t="s">
        <v>409</v>
      </c>
      <c r="M29" t="s">
        <v>563</v>
      </c>
      <c r="N29" t="s">
        <v>564</v>
      </c>
      <c r="R29" t="s">
        <v>806</v>
      </c>
      <c r="S29" t="s">
        <v>580</v>
      </c>
      <c r="T29" t="s">
        <v>1020</v>
      </c>
    </row>
    <row r="30" spans="1:20" x14ac:dyDescent="0.25">
      <c r="A30" t="s">
        <v>746</v>
      </c>
      <c r="B30" t="s">
        <v>629</v>
      </c>
      <c r="C30" t="s">
        <v>630</v>
      </c>
      <c r="J30" t="s">
        <v>756</v>
      </c>
      <c r="K30" t="s">
        <v>447</v>
      </c>
      <c r="L30" t="s">
        <v>404</v>
      </c>
      <c r="M30" t="s">
        <v>449</v>
      </c>
      <c r="N30" t="s">
        <v>402</v>
      </c>
      <c r="Q30" t="s">
        <v>631</v>
      </c>
      <c r="R30" t="s">
        <v>805</v>
      </c>
      <c r="S30" t="s">
        <v>666</v>
      </c>
      <c r="T30" t="s">
        <v>1020</v>
      </c>
    </row>
    <row r="31" spans="1:20" x14ac:dyDescent="0.25">
      <c r="A31" t="s">
        <v>746</v>
      </c>
      <c r="B31" t="s">
        <v>632</v>
      </c>
      <c r="C31" t="s">
        <v>633</v>
      </c>
      <c r="J31" t="s">
        <v>756</v>
      </c>
      <c r="K31" t="s">
        <v>449</v>
      </c>
      <c r="L31" t="s">
        <v>402</v>
      </c>
      <c r="M31" t="s">
        <v>437</v>
      </c>
      <c r="N31" t="s">
        <v>409</v>
      </c>
      <c r="R31" t="s">
        <v>804</v>
      </c>
      <c r="S31" t="s">
        <v>580</v>
      </c>
      <c r="T31" t="s">
        <v>1020</v>
      </c>
    </row>
    <row r="32" spans="1:20" x14ac:dyDescent="0.25">
      <c r="A32" t="s">
        <v>746</v>
      </c>
      <c r="B32" t="s">
        <v>634</v>
      </c>
      <c r="C32" t="s">
        <v>635</v>
      </c>
      <c r="J32" t="s">
        <v>434</v>
      </c>
      <c r="K32" t="s">
        <v>449</v>
      </c>
      <c r="L32" t="s">
        <v>402</v>
      </c>
      <c r="M32" t="s">
        <v>446</v>
      </c>
      <c r="N32" t="s">
        <v>399</v>
      </c>
      <c r="Q32" t="s">
        <v>636</v>
      </c>
      <c r="R32" t="s">
        <v>801</v>
      </c>
      <c r="S32" t="s">
        <v>637</v>
      </c>
      <c r="T32" t="s">
        <v>1020</v>
      </c>
    </row>
    <row r="33" spans="1:20" x14ac:dyDescent="0.25">
      <c r="A33" t="s">
        <v>746</v>
      </c>
      <c r="B33" t="s">
        <v>634</v>
      </c>
      <c r="C33" t="s">
        <v>635</v>
      </c>
      <c r="D33" t="s">
        <v>638</v>
      </c>
      <c r="E33" t="s">
        <v>639</v>
      </c>
      <c r="J33" t="s">
        <v>434</v>
      </c>
      <c r="K33" t="s">
        <v>449</v>
      </c>
      <c r="L33" t="s">
        <v>402</v>
      </c>
      <c r="M33" t="s">
        <v>563</v>
      </c>
      <c r="N33" t="s">
        <v>564</v>
      </c>
      <c r="R33" t="s">
        <v>745</v>
      </c>
      <c r="S33" t="s">
        <v>675</v>
      </c>
      <c r="T33" t="s">
        <v>1020</v>
      </c>
    </row>
    <row r="34" spans="1:20" x14ac:dyDescent="0.25">
      <c r="A34" t="s">
        <v>746</v>
      </c>
      <c r="B34" t="s">
        <v>640</v>
      </c>
      <c r="C34" t="s">
        <v>641</v>
      </c>
      <c r="J34" t="s">
        <v>436</v>
      </c>
      <c r="K34" t="s">
        <v>443</v>
      </c>
      <c r="L34" t="s">
        <v>405</v>
      </c>
      <c r="M34" t="s">
        <v>446</v>
      </c>
      <c r="N34" t="s">
        <v>399</v>
      </c>
      <c r="Q34" t="s">
        <v>764</v>
      </c>
      <c r="R34" t="s">
        <v>802</v>
      </c>
      <c r="S34" t="s">
        <v>660</v>
      </c>
      <c r="T34" t="s">
        <v>1020</v>
      </c>
    </row>
    <row r="35" spans="1:20" x14ac:dyDescent="0.25">
      <c r="A35" t="s">
        <v>746</v>
      </c>
      <c r="B35" t="s">
        <v>758</v>
      </c>
      <c r="C35" t="s">
        <v>759</v>
      </c>
      <c r="J35" t="s">
        <v>436</v>
      </c>
      <c r="K35" t="s">
        <v>449</v>
      </c>
      <c r="L35" t="s">
        <v>402</v>
      </c>
      <c r="M35" t="s">
        <v>446</v>
      </c>
      <c r="N35" t="s">
        <v>399</v>
      </c>
      <c r="Q35" t="s">
        <v>760</v>
      </c>
      <c r="R35" t="s">
        <v>803</v>
      </c>
      <c r="S35" t="s">
        <v>761</v>
      </c>
      <c r="T35" t="s">
        <v>1020</v>
      </c>
    </row>
    <row r="36" spans="1:20" x14ac:dyDescent="0.25">
      <c r="A36" t="s">
        <v>746</v>
      </c>
      <c r="B36" t="s">
        <v>681</v>
      </c>
      <c r="C36" t="s">
        <v>677</v>
      </c>
      <c r="J36" t="s">
        <v>643</v>
      </c>
      <c r="K36" t="s">
        <v>443</v>
      </c>
      <c r="L36" t="s">
        <v>405</v>
      </c>
      <c r="M36" t="s">
        <v>446</v>
      </c>
      <c r="N36" t="s">
        <v>399</v>
      </c>
      <c r="Q36" t="s">
        <v>684</v>
      </c>
      <c r="R36" t="s">
        <v>731</v>
      </c>
      <c r="S36" t="s">
        <v>644</v>
      </c>
      <c r="T36" t="s">
        <v>1020</v>
      </c>
    </row>
    <row r="973" spans="5:18" x14ac:dyDescent="0.25">
      <c r="E973" t="s">
        <v>2</v>
      </c>
      <c r="F973" t="s">
        <v>3</v>
      </c>
      <c r="G973" t="s">
        <v>1</v>
      </c>
      <c r="H973" t="s">
        <v>4</v>
      </c>
      <c r="I973" t="s">
        <v>18</v>
      </c>
      <c r="J973" t="s">
        <v>19</v>
      </c>
      <c r="K973" t="s">
        <v>0</v>
      </c>
      <c r="L973" t="s">
        <v>5</v>
      </c>
      <c r="M973" t="s">
        <v>382</v>
      </c>
      <c r="N973" t="s">
        <v>384</v>
      </c>
      <c r="O973" t="s">
        <v>385</v>
      </c>
      <c r="P973" t="s">
        <v>386</v>
      </c>
      <c r="R973" t="s">
        <v>433</v>
      </c>
    </row>
    <row r="974" spans="5:18" x14ac:dyDescent="0.25">
      <c r="E974" t="s">
        <v>210</v>
      </c>
      <c r="F974" t="s">
        <v>48</v>
      </c>
      <c r="G974" t="s">
        <v>216</v>
      </c>
      <c r="H974" t="s">
        <v>6</v>
      </c>
      <c r="I974" t="s">
        <v>223</v>
      </c>
      <c r="J974" t="s">
        <v>54</v>
      </c>
      <c r="K974" t="s">
        <v>258</v>
      </c>
      <c r="L974" t="s">
        <v>96</v>
      </c>
      <c r="M974" t="s">
        <v>437</v>
      </c>
      <c r="N974" t="s">
        <v>409</v>
      </c>
      <c r="O974" t="s">
        <v>437</v>
      </c>
      <c r="P974" t="s">
        <v>409</v>
      </c>
      <c r="R974" t="s">
        <v>434</v>
      </c>
    </row>
    <row r="975" spans="5:18" x14ac:dyDescent="0.25">
      <c r="E975" t="s">
        <v>211</v>
      </c>
      <c r="F975" t="s">
        <v>49</v>
      </c>
      <c r="G975" t="s">
        <v>217</v>
      </c>
      <c r="H975" t="s">
        <v>7</v>
      </c>
      <c r="I975" t="s">
        <v>224</v>
      </c>
      <c r="J975" t="s">
        <v>62</v>
      </c>
      <c r="K975" t="s">
        <v>259</v>
      </c>
      <c r="L975" t="s">
        <v>97</v>
      </c>
      <c r="M975" t="s">
        <v>438</v>
      </c>
      <c r="N975" t="s">
        <v>413</v>
      </c>
      <c r="O975" t="s">
        <v>438</v>
      </c>
      <c r="P975" t="s">
        <v>413</v>
      </c>
      <c r="R975" t="s">
        <v>436</v>
      </c>
    </row>
    <row r="976" spans="5:18" x14ac:dyDescent="0.25">
      <c r="E976" t="s">
        <v>212</v>
      </c>
      <c r="F976" t="s">
        <v>50</v>
      </c>
      <c r="G976" t="s">
        <v>218</v>
      </c>
      <c r="H976" t="s">
        <v>16</v>
      </c>
      <c r="I976" t="s">
        <v>225</v>
      </c>
      <c r="J976" t="s">
        <v>55</v>
      </c>
      <c r="K976" t="s">
        <v>260</v>
      </c>
      <c r="L976" t="s">
        <v>98</v>
      </c>
      <c r="M976" t="s">
        <v>439</v>
      </c>
      <c r="N976" t="s">
        <v>410</v>
      </c>
      <c r="O976" t="s">
        <v>439</v>
      </c>
      <c r="P976" t="s">
        <v>410</v>
      </c>
      <c r="R976" t="s">
        <v>435</v>
      </c>
    </row>
    <row r="977" spans="5:18" x14ac:dyDescent="0.25">
      <c r="E977" t="s">
        <v>213</v>
      </c>
      <c r="F977" t="s">
        <v>51</v>
      </c>
      <c r="G977" t="s">
        <v>219</v>
      </c>
      <c r="H977" t="s">
        <v>17</v>
      </c>
      <c r="I977" t="s">
        <v>226</v>
      </c>
      <c r="J977" t="s">
        <v>63</v>
      </c>
      <c r="K977" t="s">
        <v>261</v>
      </c>
      <c r="L977" t="s">
        <v>99</v>
      </c>
      <c r="M977" t="s">
        <v>440</v>
      </c>
      <c r="N977" t="s">
        <v>411</v>
      </c>
      <c r="O977" t="s">
        <v>440</v>
      </c>
      <c r="P977" t="s">
        <v>411</v>
      </c>
      <c r="R977" t="s">
        <v>583</v>
      </c>
    </row>
    <row r="978" spans="5:18" x14ac:dyDescent="0.25">
      <c r="E978" t="s">
        <v>214</v>
      </c>
      <c r="F978" t="s">
        <v>52</v>
      </c>
      <c r="G978" t="s">
        <v>220</v>
      </c>
      <c r="H978" t="s">
        <v>10</v>
      </c>
      <c r="I978" t="s">
        <v>227</v>
      </c>
      <c r="J978" t="s">
        <v>64</v>
      </c>
      <c r="K978" t="s">
        <v>262</v>
      </c>
      <c r="L978" t="s">
        <v>32</v>
      </c>
      <c r="M978" t="s">
        <v>441</v>
      </c>
      <c r="N978" t="s">
        <v>412</v>
      </c>
      <c r="O978" t="s">
        <v>441</v>
      </c>
      <c r="P978" t="s">
        <v>412</v>
      </c>
      <c r="R978" t="s">
        <v>643</v>
      </c>
    </row>
    <row r="979" spans="5:18" x14ac:dyDescent="0.25">
      <c r="E979" t="s">
        <v>215</v>
      </c>
      <c r="F979" t="s">
        <v>53</v>
      </c>
      <c r="G979" t="s">
        <v>221</v>
      </c>
      <c r="H979" t="s">
        <v>11</v>
      </c>
      <c r="I979" t="s">
        <v>228</v>
      </c>
      <c r="J979" t="s">
        <v>65</v>
      </c>
      <c r="K979" t="s">
        <v>263</v>
      </c>
      <c r="L979" t="s">
        <v>100</v>
      </c>
      <c r="M979" t="s">
        <v>442</v>
      </c>
      <c r="N979" t="s">
        <v>408</v>
      </c>
      <c r="O979" t="s">
        <v>442</v>
      </c>
      <c r="P979" t="s">
        <v>408</v>
      </c>
      <c r="R979" t="s">
        <v>702</v>
      </c>
    </row>
    <row r="980" spans="5:18" x14ac:dyDescent="0.25">
      <c r="G980" t="s">
        <v>222</v>
      </c>
      <c r="H980" t="s">
        <v>8</v>
      </c>
      <c r="I980" t="s">
        <v>229</v>
      </c>
      <c r="J980" t="s">
        <v>56</v>
      </c>
      <c r="K980" t="s">
        <v>264</v>
      </c>
      <c r="L980" t="s">
        <v>101</v>
      </c>
      <c r="M980" t="s">
        <v>443</v>
      </c>
      <c r="N980" t="s">
        <v>405</v>
      </c>
      <c r="O980" t="s">
        <v>443</v>
      </c>
      <c r="P980" t="s">
        <v>405</v>
      </c>
      <c r="R980" t="s">
        <v>756</v>
      </c>
    </row>
    <row r="981" spans="5:18" x14ac:dyDescent="0.25">
      <c r="G981" t="s">
        <v>20</v>
      </c>
      <c r="H981" t="s">
        <v>9</v>
      </c>
      <c r="I981" t="s">
        <v>230</v>
      </c>
      <c r="J981" t="s">
        <v>67</v>
      </c>
      <c r="K981" t="s">
        <v>265</v>
      </c>
      <c r="L981" t="s">
        <v>27</v>
      </c>
      <c r="M981" t="s">
        <v>444</v>
      </c>
      <c r="N981" t="s">
        <v>406</v>
      </c>
      <c r="O981" t="s">
        <v>444</v>
      </c>
      <c r="P981" t="s">
        <v>406</v>
      </c>
      <c r="R981" t="s">
        <v>753</v>
      </c>
    </row>
    <row r="982" spans="5:18" x14ac:dyDescent="0.25">
      <c r="G982" t="s">
        <v>21</v>
      </c>
      <c r="H982" t="s">
        <v>12</v>
      </c>
      <c r="I982" t="s">
        <v>231</v>
      </c>
      <c r="J982" t="s">
        <v>66</v>
      </c>
      <c r="K982" t="s">
        <v>266</v>
      </c>
      <c r="L982" t="s">
        <v>102</v>
      </c>
      <c r="M982" t="s">
        <v>445</v>
      </c>
      <c r="N982" t="s">
        <v>407</v>
      </c>
      <c r="O982" t="s">
        <v>445</v>
      </c>
      <c r="P982" t="s">
        <v>407</v>
      </c>
      <c r="R982" t="s">
        <v>757</v>
      </c>
    </row>
    <row r="983" spans="5:18" x14ac:dyDescent="0.25">
      <c r="G983" t="s">
        <v>22</v>
      </c>
      <c r="H983" t="s">
        <v>13</v>
      </c>
      <c r="I983" t="s">
        <v>232</v>
      </c>
      <c r="J983" t="s">
        <v>68</v>
      </c>
      <c r="K983" t="s">
        <v>267</v>
      </c>
      <c r="L983" t="s">
        <v>103</v>
      </c>
      <c r="M983" t="s">
        <v>446</v>
      </c>
      <c r="N983" t="s">
        <v>399</v>
      </c>
      <c r="O983" t="s">
        <v>446</v>
      </c>
      <c r="P983" t="s">
        <v>399</v>
      </c>
    </row>
    <row r="984" spans="5:18" x14ac:dyDescent="0.25">
      <c r="G984" t="s">
        <v>23</v>
      </c>
      <c r="H984" t="s">
        <v>14</v>
      </c>
      <c r="I984" t="s">
        <v>233</v>
      </c>
      <c r="J984" t="s">
        <v>70</v>
      </c>
      <c r="K984" t="s">
        <v>268</v>
      </c>
      <c r="L984" t="s">
        <v>104</v>
      </c>
      <c r="M984" t="s">
        <v>447</v>
      </c>
      <c r="N984" t="s">
        <v>404</v>
      </c>
      <c r="O984" t="s">
        <v>447</v>
      </c>
      <c r="P984" t="s">
        <v>404</v>
      </c>
    </row>
    <row r="985" spans="5:18" x14ac:dyDescent="0.25">
      <c r="G985" t="s">
        <v>24</v>
      </c>
      <c r="H985" t="s">
        <v>15</v>
      </c>
      <c r="I985" t="s">
        <v>234</v>
      </c>
      <c r="J985" t="s">
        <v>71</v>
      </c>
      <c r="K985" t="s">
        <v>269</v>
      </c>
      <c r="L985" t="s">
        <v>105</v>
      </c>
      <c r="M985" t="s">
        <v>448</v>
      </c>
      <c r="N985" t="s">
        <v>403</v>
      </c>
      <c r="O985" t="s">
        <v>448</v>
      </c>
      <c r="P985" t="s">
        <v>403</v>
      </c>
    </row>
    <row r="986" spans="5:18" x14ac:dyDescent="0.25">
      <c r="G986" t="s">
        <v>29</v>
      </c>
      <c r="H986" t="s">
        <v>25</v>
      </c>
      <c r="I986" t="s">
        <v>235</v>
      </c>
      <c r="J986" t="s">
        <v>73</v>
      </c>
      <c r="K986" t="s">
        <v>270</v>
      </c>
      <c r="L986" t="s">
        <v>106</v>
      </c>
      <c r="M986" t="s">
        <v>449</v>
      </c>
      <c r="N986" t="s">
        <v>402</v>
      </c>
      <c r="O986" t="s">
        <v>449</v>
      </c>
      <c r="P986" t="s">
        <v>402</v>
      </c>
    </row>
    <row r="987" spans="5:18" x14ac:dyDescent="0.25">
      <c r="G987" t="s">
        <v>39</v>
      </c>
      <c r="H987" t="s">
        <v>28</v>
      </c>
      <c r="I987" t="s">
        <v>236</v>
      </c>
      <c r="J987" t="s">
        <v>74</v>
      </c>
      <c r="K987" t="s">
        <v>271</v>
      </c>
      <c r="L987" t="s">
        <v>107</v>
      </c>
      <c r="M987" t="s">
        <v>450</v>
      </c>
      <c r="N987" t="s">
        <v>400</v>
      </c>
      <c r="O987" t="s">
        <v>450</v>
      </c>
      <c r="P987" t="s">
        <v>400</v>
      </c>
    </row>
    <row r="988" spans="5:18" x14ac:dyDescent="0.25">
      <c r="G988" t="s">
        <v>40</v>
      </c>
      <c r="H988" t="s">
        <v>30</v>
      </c>
      <c r="I988" t="s">
        <v>237</v>
      </c>
      <c r="J988" t="s">
        <v>59</v>
      </c>
      <c r="K988" t="s">
        <v>272</v>
      </c>
      <c r="L988" t="s">
        <v>108</v>
      </c>
      <c r="M988" t="s">
        <v>451</v>
      </c>
      <c r="N988" t="s">
        <v>401</v>
      </c>
      <c r="O988" t="s">
        <v>451</v>
      </c>
      <c r="P988" t="s">
        <v>401</v>
      </c>
    </row>
    <row r="989" spans="5:18" x14ac:dyDescent="0.25">
      <c r="G989" t="s">
        <v>41</v>
      </c>
      <c r="H989" t="s">
        <v>33</v>
      </c>
      <c r="I989" t="s">
        <v>238</v>
      </c>
      <c r="J989" t="s">
        <v>75</v>
      </c>
      <c r="K989" t="s">
        <v>273</v>
      </c>
      <c r="L989" t="s">
        <v>109</v>
      </c>
      <c r="M989" t="s">
        <v>452</v>
      </c>
      <c r="N989" t="s">
        <v>388</v>
      </c>
      <c r="O989" t="s">
        <v>452</v>
      </c>
      <c r="P989" t="s">
        <v>388</v>
      </c>
    </row>
    <row r="990" spans="5:18" x14ac:dyDescent="0.25">
      <c r="G990" t="s">
        <v>42</v>
      </c>
      <c r="H990" t="s">
        <v>34</v>
      </c>
      <c r="I990" t="s">
        <v>239</v>
      </c>
      <c r="J990" t="s">
        <v>76</v>
      </c>
      <c r="K990" t="s">
        <v>274</v>
      </c>
      <c r="L990" t="s">
        <v>110</v>
      </c>
      <c r="M990" t="s">
        <v>453</v>
      </c>
      <c r="N990" t="s">
        <v>395</v>
      </c>
      <c r="O990" t="s">
        <v>453</v>
      </c>
      <c r="P990" t="s">
        <v>395</v>
      </c>
    </row>
    <row r="991" spans="5:18" x14ac:dyDescent="0.25">
      <c r="G991" t="s">
        <v>43</v>
      </c>
      <c r="H991" t="s">
        <v>35</v>
      </c>
      <c r="I991" t="s">
        <v>240</v>
      </c>
      <c r="J991" t="s">
        <v>79</v>
      </c>
      <c r="K991" t="s">
        <v>275</v>
      </c>
      <c r="L991" t="s">
        <v>111</v>
      </c>
      <c r="M991" t="s">
        <v>454</v>
      </c>
      <c r="N991" t="s">
        <v>393</v>
      </c>
      <c r="O991" t="s">
        <v>454</v>
      </c>
      <c r="P991" t="s">
        <v>393</v>
      </c>
    </row>
    <row r="992" spans="5:18" x14ac:dyDescent="0.25">
      <c r="G992" t="s">
        <v>44</v>
      </c>
      <c r="H992" t="s">
        <v>36</v>
      </c>
      <c r="I992" t="s">
        <v>241</v>
      </c>
      <c r="J992" t="s">
        <v>80</v>
      </c>
      <c r="K992" t="s">
        <v>276</v>
      </c>
      <c r="L992" t="s">
        <v>112</v>
      </c>
      <c r="M992" t="s">
        <v>455</v>
      </c>
      <c r="N992" t="s">
        <v>390</v>
      </c>
      <c r="O992" t="s">
        <v>455</v>
      </c>
      <c r="P992" t="s">
        <v>390</v>
      </c>
    </row>
    <row r="993" spans="7:16" x14ac:dyDescent="0.25">
      <c r="G993" t="s">
        <v>45</v>
      </c>
      <c r="H993" t="s">
        <v>37</v>
      </c>
      <c r="I993" t="s">
        <v>242</v>
      </c>
      <c r="J993" t="s">
        <v>81</v>
      </c>
      <c r="K993" t="s">
        <v>277</v>
      </c>
      <c r="L993" t="s">
        <v>113</v>
      </c>
      <c r="M993" t="s">
        <v>456</v>
      </c>
      <c r="N993" t="s">
        <v>389</v>
      </c>
      <c r="O993" t="s">
        <v>456</v>
      </c>
      <c r="P993" t="s">
        <v>389</v>
      </c>
    </row>
    <row r="994" spans="7:16" x14ac:dyDescent="0.25">
      <c r="G994" t="s">
        <v>46</v>
      </c>
      <c r="H994" t="s">
        <v>38</v>
      </c>
      <c r="I994" t="s">
        <v>243</v>
      </c>
      <c r="J994" t="s">
        <v>83</v>
      </c>
      <c r="K994" t="s">
        <v>278</v>
      </c>
      <c r="L994" t="s">
        <v>114</v>
      </c>
      <c r="M994" t="s">
        <v>457</v>
      </c>
      <c r="N994" t="s">
        <v>391</v>
      </c>
      <c r="O994" t="s">
        <v>457</v>
      </c>
      <c r="P994" t="s">
        <v>391</v>
      </c>
    </row>
    <row r="995" spans="7:16" x14ac:dyDescent="0.25">
      <c r="G995" t="s">
        <v>47</v>
      </c>
      <c r="H995" t="s">
        <v>31</v>
      </c>
      <c r="I995" t="s">
        <v>244</v>
      </c>
      <c r="J995" t="s">
        <v>84</v>
      </c>
      <c r="K995" t="s">
        <v>279</v>
      </c>
      <c r="L995" t="s">
        <v>57</v>
      </c>
      <c r="M995" t="s">
        <v>458</v>
      </c>
      <c r="N995" t="s">
        <v>392</v>
      </c>
      <c r="O995" t="s">
        <v>458</v>
      </c>
      <c r="P995" t="s">
        <v>392</v>
      </c>
    </row>
    <row r="996" spans="7:16" x14ac:dyDescent="0.25">
      <c r="I996" t="s">
        <v>245</v>
      </c>
      <c r="J996" t="s">
        <v>82</v>
      </c>
      <c r="K996" t="s">
        <v>280</v>
      </c>
      <c r="L996" t="s">
        <v>115</v>
      </c>
      <c r="M996" t="s">
        <v>459</v>
      </c>
      <c r="N996" t="s">
        <v>394</v>
      </c>
      <c r="O996" t="s">
        <v>459</v>
      </c>
      <c r="P996" t="s">
        <v>394</v>
      </c>
    </row>
    <row r="997" spans="7:16" x14ac:dyDescent="0.25">
      <c r="I997" t="s">
        <v>246</v>
      </c>
      <c r="J997" t="s">
        <v>85</v>
      </c>
      <c r="K997" t="s">
        <v>281</v>
      </c>
      <c r="L997" t="s">
        <v>116</v>
      </c>
      <c r="M997" t="s">
        <v>460</v>
      </c>
      <c r="N997" t="s">
        <v>396</v>
      </c>
      <c r="O997" t="s">
        <v>460</v>
      </c>
      <c r="P997" t="s">
        <v>396</v>
      </c>
    </row>
    <row r="998" spans="7:16" x14ac:dyDescent="0.25">
      <c r="I998" t="s">
        <v>247</v>
      </c>
      <c r="J998" t="s">
        <v>86</v>
      </c>
      <c r="K998" t="s">
        <v>282</v>
      </c>
      <c r="L998" t="s">
        <v>117</v>
      </c>
      <c r="M998" t="s">
        <v>461</v>
      </c>
      <c r="N998" t="s">
        <v>397</v>
      </c>
      <c r="O998" t="s">
        <v>461</v>
      </c>
      <c r="P998" t="s">
        <v>397</v>
      </c>
    </row>
    <row r="999" spans="7:16" x14ac:dyDescent="0.25">
      <c r="I999" t="s">
        <v>248</v>
      </c>
      <c r="J999" t="s">
        <v>87</v>
      </c>
      <c r="K999" t="s">
        <v>283</v>
      </c>
      <c r="L999" t="s">
        <v>118</v>
      </c>
      <c r="M999" t="s">
        <v>462</v>
      </c>
      <c r="N999" t="s">
        <v>398</v>
      </c>
      <c r="O999" t="s">
        <v>462</v>
      </c>
      <c r="P999" t="s">
        <v>398</v>
      </c>
    </row>
    <row r="1000" spans="7:16" x14ac:dyDescent="0.25">
      <c r="I1000" t="s">
        <v>249</v>
      </c>
      <c r="J1000" t="s">
        <v>61</v>
      </c>
      <c r="K1000" t="s">
        <v>284</v>
      </c>
      <c r="L1000" t="s">
        <v>119</v>
      </c>
      <c r="M1000" t="s">
        <v>563</v>
      </c>
      <c r="N1000" t="s">
        <v>564</v>
      </c>
      <c r="O1000" t="s">
        <v>563</v>
      </c>
      <c r="P1000" t="s">
        <v>564</v>
      </c>
    </row>
    <row r="1001" spans="7:16" x14ac:dyDescent="0.25">
      <c r="I1001" t="s">
        <v>250</v>
      </c>
      <c r="J1001" t="s">
        <v>89</v>
      </c>
      <c r="K1001" t="s">
        <v>285</v>
      </c>
      <c r="L1001" t="s">
        <v>120</v>
      </c>
    </row>
    <row r="1002" spans="7:16" x14ac:dyDescent="0.25">
      <c r="I1002" t="s">
        <v>251</v>
      </c>
      <c r="J1002" t="s">
        <v>90</v>
      </c>
      <c r="K1002" t="s">
        <v>286</v>
      </c>
      <c r="L1002" t="s">
        <v>121</v>
      </c>
    </row>
    <row r="1003" spans="7:16" x14ac:dyDescent="0.25">
      <c r="I1003" t="s">
        <v>252</v>
      </c>
      <c r="J1003" t="s">
        <v>88</v>
      </c>
      <c r="K1003" t="s">
        <v>287</v>
      </c>
      <c r="L1003" t="s">
        <v>122</v>
      </c>
    </row>
    <row r="1004" spans="7:16" x14ac:dyDescent="0.25">
      <c r="I1004" t="s">
        <v>253</v>
      </c>
      <c r="J1004" t="s">
        <v>91</v>
      </c>
      <c r="K1004" t="s">
        <v>288</v>
      </c>
      <c r="L1004" t="s">
        <v>123</v>
      </c>
    </row>
    <row r="1005" spans="7:16" x14ac:dyDescent="0.25">
      <c r="I1005" t="s">
        <v>254</v>
      </c>
      <c r="J1005" t="s">
        <v>208</v>
      </c>
      <c r="K1005" t="s">
        <v>289</v>
      </c>
      <c r="L1005" t="s">
        <v>124</v>
      </c>
    </row>
    <row r="1006" spans="7:16" x14ac:dyDescent="0.25">
      <c r="I1006" t="s">
        <v>255</v>
      </c>
      <c r="J1006" t="s">
        <v>209</v>
      </c>
      <c r="K1006" t="s">
        <v>290</v>
      </c>
      <c r="L1006" t="s">
        <v>125</v>
      </c>
    </row>
    <row r="1007" spans="7:16" x14ac:dyDescent="0.25">
      <c r="I1007" t="s">
        <v>256</v>
      </c>
      <c r="J1007" t="s">
        <v>94</v>
      </c>
      <c r="K1007" t="s">
        <v>291</v>
      </c>
      <c r="L1007" t="s">
        <v>126</v>
      </c>
    </row>
    <row r="1008" spans="7:16" x14ac:dyDescent="0.25">
      <c r="I1008" t="s">
        <v>257</v>
      </c>
      <c r="J1008" t="s">
        <v>92</v>
      </c>
      <c r="K1008" t="s">
        <v>292</v>
      </c>
      <c r="L1008" t="s">
        <v>127</v>
      </c>
    </row>
    <row r="1009" spans="11:12" x14ac:dyDescent="0.25">
      <c r="K1009" t="s">
        <v>293</v>
      </c>
      <c r="L1009" t="s">
        <v>58</v>
      </c>
    </row>
    <row r="1010" spans="11:12" x14ac:dyDescent="0.25">
      <c r="K1010" t="s">
        <v>294</v>
      </c>
      <c r="L1010" t="s">
        <v>128</v>
      </c>
    </row>
    <row r="1011" spans="11:12" x14ac:dyDescent="0.25">
      <c r="K1011" t="s">
        <v>295</v>
      </c>
      <c r="L1011" t="s">
        <v>129</v>
      </c>
    </row>
    <row r="1012" spans="11:12" x14ac:dyDescent="0.25">
      <c r="K1012" t="s">
        <v>296</v>
      </c>
      <c r="L1012" t="s">
        <v>130</v>
      </c>
    </row>
    <row r="1013" spans="11:12" x14ac:dyDescent="0.25">
      <c r="K1013" t="s">
        <v>297</v>
      </c>
      <c r="L1013" t="s">
        <v>131</v>
      </c>
    </row>
    <row r="1014" spans="11:12" x14ac:dyDescent="0.25">
      <c r="K1014" t="s">
        <v>298</v>
      </c>
      <c r="L1014" t="s">
        <v>132</v>
      </c>
    </row>
    <row r="1015" spans="11:12" x14ac:dyDescent="0.25">
      <c r="K1015" t="s">
        <v>299</v>
      </c>
      <c r="L1015" t="s">
        <v>133</v>
      </c>
    </row>
    <row r="1016" spans="11:12" x14ac:dyDescent="0.25">
      <c r="K1016" t="s">
        <v>300</v>
      </c>
      <c r="L1016" t="s">
        <v>134</v>
      </c>
    </row>
    <row r="1017" spans="11:12" x14ac:dyDescent="0.25">
      <c r="K1017" t="s">
        <v>301</v>
      </c>
      <c r="L1017" t="s">
        <v>135</v>
      </c>
    </row>
    <row r="1018" spans="11:12" x14ac:dyDescent="0.25">
      <c r="K1018" t="s">
        <v>302</v>
      </c>
      <c r="L1018" t="s">
        <v>69</v>
      </c>
    </row>
    <row r="1019" spans="11:12" x14ac:dyDescent="0.25">
      <c r="K1019" t="s">
        <v>303</v>
      </c>
      <c r="L1019" t="s">
        <v>136</v>
      </c>
    </row>
    <row r="1020" spans="11:12" x14ac:dyDescent="0.25">
      <c r="K1020" t="s">
        <v>304</v>
      </c>
      <c r="L1020" t="s">
        <v>137</v>
      </c>
    </row>
    <row r="1021" spans="11:12" x14ac:dyDescent="0.25">
      <c r="K1021" t="s">
        <v>305</v>
      </c>
      <c r="L1021" t="s">
        <v>138</v>
      </c>
    </row>
    <row r="1022" spans="11:12" x14ac:dyDescent="0.25">
      <c r="K1022" t="s">
        <v>306</v>
      </c>
      <c r="L1022" t="s">
        <v>139</v>
      </c>
    </row>
    <row r="1023" spans="11:12" x14ac:dyDescent="0.25">
      <c r="K1023" t="s">
        <v>307</v>
      </c>
      <c r="L1023" t="s">
        <v>140</v>
      </c>
    </row>
    <row r="1024" spans="11:12" x14ac:dyDescent="0.25">
      <c r="K1024" t="s">
        <v>308</v>
      </c>
      <c r="L1024" t="s">
        <v>141</v>
      </c>
    </row>
    <row r="1025" spans="11:12" x14ac:dyDescent="0.25">
      <c r="K1025" t="s">
        <v>309</v>
      </c>
      <c r="L1025" t="s">
        <v>142</v>
      </c>
    </row>
    <row r="1026" spans="11:12" x14ac:dyDescent="0.25">
      <c r="K1026" t="s">
        <v>310</v>
      </c>
      <c r="L1026" t="s">
        <v>78</v>
      </c>
    </row>
    <row r="1027" spans="11:12" x14ac:dyDescent="0.25">
      <c r="K1027" t="s">
        <v>311</v>
      </c>
      <c r="L1027" t="s">
        <v>77</v>
      </c>
    </row>
    <row r="1028" spans="11:12" x14ac:dyDescent="0.25">
      <c r="K1028" t="s">
        <v>312</v>
      </c>
      <c r="L1028" t="s">
        <v>143</v>
      </c>
    </row>
    <row r="1029" spans="11:12" x14ac:dyDescent="0.25">
      <c r="K1029" t="s">
        <v>313</v>
      </c>
      <c r="L1029" t="s">
        <v>144</v>
      </c>
    </row>
    <row r="1030" spans="11:12" x14ac:dyDescent="0.25">
      <c r="K1030" t="s">
        <v>314</v>
      </c>
      <c r="L1030" t="s">
        <v>145</v>
      </c>
    </row>
    <row r="1031" spans="11:12" x14ac:dyDescent="0.25">
      <c r="K1031" t="s">
        <v>315</v>
      </c>
      <c r="L1031" t="s">
        <v>146</v>
      </c>
    </row>
    <row r="1032" spans="11:12" x14ac:dyDescent="0.25">
      <c r="K1032" t="s">
        <v>316</v>
      </c>
      <c r="L1032" t="s">
        <v>147</v>
      </c>
    </row>
    <row r="1033" spans="11:12" x14ac:dyDescent="0.25">
      <c r="K1033" t="s">
        <v>317</v>
      </c>
      <c r="L1033" t="s">
        <v>148</v>
      </c>
    </row>
    <row r="1034" spans="11:12" x14ac:dyDescent="0.25">
      <c r="K1034" t="s">
        <v>318</v>
      </c>
      <c r="L1034" t="s">
        <v>93</v>
      </c>
    </row>
    <row r="1035" spans="11:12" x14ac:dyDescent="0.25">
      <c r="K1035" t="s">
        <v>319</v>
      </c>
      <c r="L1035" t="s">
        <v>149</v>
      </c>
    </row>
    <row r="1036" spans="11:12" x14ac:dyDescent="0.25">
      <c r="K1036" t="s">
        <v>320</v>
      </c>
      <c r="L1036" t="s">
        <v>72</v>
      </c>
    </row>
    <row r="1037" spans="11:12" x14ac:dyDescent="0.25">
      <c r="K1037" t="s">
        <v>321</v>
      </c>
      <c r="L1037" t="s">
        <v>150</v>
      </c>
    </row>
    <row r="1038" spans="11:12" x14ac:dyDescent="0.25">
      <c r="K1038" t="s">
        <v>322</v>
      </c>
      <c r="L1038" t="s">
        <v>151</v>
      </c>
    </row>
    <row r="1039" spans="11:12" x14ac:dyDescent="0.25">
      <c r="K1039" t="s">
        <v>323</v>
      </c>
      <c r="L1039" t="s">
        <v>152</v>
      </c>
    </row>
    <row r="1040" spans="11:12" x14ac:dyDescent="0.25">
      <c r="K1040" t="s">
        <v>324</v>
      </c>
      <c r="L1040" t="s">
        <v>153</v>
      </c>
    </row>
    <row r="1041" spans="11:12" x14ac:dyDescent="0.25">
      <c r="K1041" t="s">
        <v>325</v>
      </c>
      <c r="L1041" t="s">
        <v>154</v>
      </c>
    </row>
    <row r="1042" spans="11:12" x14ac:dyDescent="0.25">
      <c r="K1042" t="s">
        <v>326</v>
      </c>
      <c r="L1042" t="s">
        <v>155</v>
      </c>
    </row>
    <row r="1043" spans="11:12" x14ac:dyDescent="0.25">
      <c r="K1043" t="s">
        <v>327</v>
      </c>
      <c r="L1043" t="s">
        <v>156</v>
      </c>
    </row>
    <row r="1044" spans="11:12" x14ac:dyDescent="0.25">
      <c r="K1044" t="s">
        <v>328</v>
      </c>
      <c r="L1044" t="s">
        <v>157</v>
      </c>
    </row>
    <row r="1045" spans="11:12" x14ac:dyDescent="0.25">
      <c r="K1045" t="s">
        <v>329</v>
      </c>
      <c r="L1045" t="s">
        <v>158</v>
      </c>
    </row>
    <row r="1046" spans="11:12" x14ac:dyDescent="0.25">
      <c r="K1046" t="s">
        <v>330</v>
      </c>
      <c r="L1046" t="s">
        <v>159</v>
      </c>
    </row>
    <row r="1047" spans="11:12" x14ac:dyDescent="0.25">
      <c r="K1047" t="s">
        <v>331</v>
      </c>
      <c r="L1047" t="s">
        <v>160</v>
      </c>
    </row>
    <row r="1048" spans="11:12" x14ac:dyDescent="0.25">
      <c r="K1048" t="s">
        <v>332</v>
      </c>
      <c r="L1048" t="s">
        <v>161</v>
      </c>
    </row>
    <row r="1049" spans="11:12" x14ac:dyDescent="0.25">
      <c r="K1049" t="s">
        <v>333</v>
      </c>
      <c r="L1049" t="s">
        <v>162</v>
      </c>
    </row>
    <row r="1050" spans="11:12" x14ac:dyDescent="0.25">
      <c r="K1050" t="s">
        <v>334</v>
      </c>
      <c r="L1050" t="s">
        <v>163</v>
      </c>
    </row>
    <row r="1051" spans="11:12" x14ac:dyDescent="0.25">
      <c r="K1051" t="s">
        <v>335</v>
      </c>
      <c r="L1051" t="s">
        <v>164</v>
      </c>
    </row>
    <row r="1052" spans="11:12" x14ac:dyDescent="0.25">
      <c r="K1052" t="s">
        <v>336</v>
      </c>
      <c r="L1052" t="s">
        <v>165</v>
      </c>
    </row>
    <row r="1053" spans="11:12" x14ac:dyDescent="0.25">
      <c r="K1053" t="s">
        <v>337</v>
      </c>
      <c r="L1053" t="s">
        <v>166</v>
      </c>
    </row>
    <row r="1054" spans="11:12" x14ac:dyDescent="0.25">
      <c r="K1054" t="s">
        <v>338</v>
      </c>
      <c r="L1054" t="s">
        <v>167</v>
      </c>
    </row>
    <row r="1055" spans="11:12" x14ac:dyDescent="0.25">
      <c r="K1055" t="s">
        <v>339</v>
      </c>
      <c r="L1055" t="s">
        <v>168</v>
      </c>
    </row>
    <row r="1056" spans="11:12" x14ac:dyDescent="0.25">
      <c r="K1056" t="s">
        <v>340</v>
      </c>
      <c r="L1056" t="s">
        <v>169</v>
      </c>
    </row>
    <row r="1057" spans="11:12" x14ac:dyDescent="0.25">
      <c r="K1057" t="s">
        <v>341</v>
      </c>
      <c r="L1057" t="s">
        <v>170</v>
      </c>
    </row>
    <row r="1058" spans="11:12" x14ac:dyDescent="0.25">
      <c r="K1058" t="s">
        <v>342</v>
      </c>
      <c r="L1058" t="s">
        <v>171</v>
      </c>
    </row>
    <row r="1059" spans="11:12" x14ac:dyDescent="0.25">
      <c r="K1059" t="s">
        <v>343</v>
      </c>
      <c r="L1059" t="s">
        <v>172</v>
      </c>
    </row>
    <row r="1060" spans="11:12" x14ac:dyDescent="0.25">
      <c r="K1060" t="s">
        <v>344</v>
      </c>
      <c r="L1060" t="s">
        <v>173</v>
      </c>
    </row>
    <row r="1061" spans="11:12" x14ac:dyDescent="0.25">
      <c r="K1061" t="s">
        <v>345</v>
      </c>
      <c r="L1061" t="s">
        <v>174</v>
      </c>
    </row>
    <row r="1062" spans="11:12" x14ac:dyDescent="0.25">
      <c r="K1062" t="s">
        <v>346</v>
      </c>
      <c r="L1062" t="s">
        <v>175</v>
      </c>
    </row>
    <row r="1063" spans="11:12" x14ac:dyDescent="0.25">
      <c r="K1063" t="s">
        <v>347</v>
      </c>
      <c r="L1063" t="s">
        <v>60</v>
      </c>
    </row>
    <row r="1064" spans="11:12" x14ac:dyDescent="0.25">
      <c r="K1064" t="s">
        <v>348</v>
      </c>
      <c r="L1064" t="s">
        <v>176</v>
      </c>
    </row>
    <row r="1065" spans="11:12" x14ac:dyDescent="0.25">
      <c r="K1065" t="s">
        <v>349</v>
      </c>
      <c r="L1065" t="s">
        <v>177</v>
      </c>
    </row>
    <row r="1066" spans="11:12" x14ac:dyDescent="0.25">
      <c r="K1066" t="s">
        <v>350</v>
      </c>
      <c r="L1066" t="s">
        <v>178</v>
      </c>
    </row>
    <row r="1067" spans="11:12" x14ac:dyDescent="0.25">
      <c r="K1067" t="s">
        <v>351</v>
      </c>
      <c r="L1067" t="s">
        <v>179</v>
      </c>
    </row>
    <row r="1068" spans="11:12" x14ac:dyDescent="0.25">
      <c r="K1068" t="s">
        <v>352</v>
      </c>
      <c r="L1068" t="s">
        <v>180</v>
      </c>
    </row>
    <row r="1069" spans="11:12" x14ac:dyDescent="0.25">
      <c r="K1069" t="s">
        <v>353</v>
      </c>
      <c r="L1069" t="s">
        <v>181</v>
      </c>
    </row>
    <row r="1070" spans="11:12" x14ac:dyDescent="0.25">
      <c r="K1070" t="s">
        <v>354</v>
      </c>
      <c r="L1070" t="s">
        <v>182</v>
      </c>
    </row>
    <row r="1071" spans="11:12" x14ac:dyDescent="0.25">
      <c r="K1071" t="s">
        <v>355</v>
      </c>
      <c r="L1071" t="s">
        <v>183</v>
      </c>
    </row>
    <row r="1072" spans="11:12" x14ac:dyDescent="0.25">
      <c r="K1072" t="s">
        <v>356</v>
      </c>
      <c r="L1072" t="s">
        <v>184</v>
      </c>
    </row>
    <row r="1073" spans="11:12" x14ac:dyDescent="0.25">
      <c r="K1073" t="s">
        <v>357</v>
      </c>
      <c r="L1073" t="s">
        <v>185</v>
      </c>
    </row>
    <row r="1074" spans="11:12" x14ac:dyDescent="0.25">
      <c r="K1074" t="s">
        <v>358</v>
      </c>
      <c r="L1074" t="s">
        <v>186</v>
      </c>
    </row>
    <row r="1075" spans="11:12" x14ac:dyDescent="0.25">
      <c r="K1075" t="s">
        <v>359</v>
      </c>
      <c r="L1075" t="s">
        <v>187</v>
      </c>
    </row>
    <row r="1076" spans="11:12" x14ac:dyDescent="0.25">
      <c r="K1076" t="s">
        <v>360</v>
      </c>
      <c r="L1076" t="s">
        <v>188</v>
      </c>
    </row>
    <row r="1077" spans="11:12" x14ac:dyDescent="0.25">
      <c r="K1077" t="s">
        <v>361</v>
      </c>
      <c r="L1077" t="s">
        <v>189</v>
      </c>
    </row>
    <row r="1078" spans="11:12" x14ac:dyDescent="0.25">
      <c r="K1078" t="s">
        <v>362</v>
      </c>
      <c r="L1078" t="s">
        <v>190</v>
      </c>
    </row>
    <row r="1079" spans="11:12" x14ac:dyDescent="0.25">
      <c r="K1079" t="s">
        <v>363</v>
      </c>
      <c r="L1079" t="s">
        <v>191</v>
      </c>
    </row>
    <row r="1080" spans="11:12" x14ac:dyDescent="0.25">
      <c r="K1080" t="s">
        <v>364</v>
      </c>
      <c r="L1080" t="s">
        <v>192</v>
      </c>
    </row>
    <row r="1081" spans="11:12" x14ac:dyDescent="0.25">
      <c r="K1081" t="s">
        <v>365</v>
      </c>
      <c r="L1081" t="s">
        <v>193</v>
      </c>
    </row>
    <row r="1082" spans="11:12" x14ac:dyDescent="0.25">
      <c r="K1082" t="s">
        <v>366</v>
      </c>
      <c r="L1082" t="s">
        <v>194</v>
      </c>
    </row>
    <row r="1083" spans="11:12" x14ac:dyDescent="0.25">
      <c r="K1083" t="s">
        <v>367</v>
      </c>
      <c r="L1083" t="s">
        <v>26</v>
      </c>
    </row>
    <row r="1084" spans="11:12" x14ac:dyDescent="0.25">
      <c r="K1084" t="s">
        <v>368</v>
      </c>
      <c r="L1084" t="s">
        <v>195</v>
      </c>
    </row>
    <row r="1085" spans="11:12" x14ac:dyDescent="0.25">
      <c r="K1085" t="s">
        <v>369</v>
      </c>
      <c r="L1085" t="s">
        <v>196</v>
      </c>
    </row>
    <row r="1086" spans="11:12" x14ac:dyDescent="0.25">
      <c r="K1086" t="s">
        <v>370</v>
      </c>
      <c r="L1086" t="s">
        <v>197</v>
      </c>
    </row>
    <row r="1087" spans="11:12" x14ac:dyDescent="0.25">
      <c r="K1087" t="s">
        <v>371</v>
      </c>
      <c r="L1087" t="s">
        <v>198</v>
      </c>
    </row>
    <row r="1088" spans="11:12" x14ac:dyDescent="0.25">
      <c r="K1088" t="s">
        <v>372</v>
      </c>
      <c r="L1088" t="s">
        <v>199</v>
      </c>
    </row>
    <row r="1089" spans="11:12" x14ac:dyDescent="0.25">
      <c r="K1089" t="s">
        <v>373</v>
      </c>
      <c r="L1089" t="s">
        <v>200</v>
      </c>
    </row>
    <row r="1090" spans="11:12" x14ac:dyDescent="0.25">
      <c r="K1090" t="s">
        <v>374</v>
      </c>
      <c r="L1090" t="s">
        <v>201</v>
      </c>
    </row>
    <row r="1091" spans="11:12" x14ac:dyDescent="0.25">
      <c r="K1091" t="s">
        <v>375</v>
      </c>
      <c r="L1091" t="s">
        <v>202</v>
      </c>
    </row>
    <row r="1092" spans="11:12" x14ac:dyDescent="0.25">
      <c r="K1092" t="s">
        <v>376</v>
      </c>
      <c r="L1092" t="s">
        <v>203</v>
      </c>
    </row>
    <row r="1093" spans="11:12" x14ac:dyDescent="0.25">
      <c r="K1093" t="s">
        <v>377</v>
      </c>
      <c r="L1093" t="s">
        <v>204</v>
      </c>
    </row>
    <row r="1094" spans="11:12" x14ac:dyDescent="0.25">
      <c r="K1094" t="s">
        <v>378</v>
      </c>
      <c r="L1094" t="s">
        <v>205</v>
      </c>
    </row>
    <row r="1095" spans="11:12" x14ac:dyDescent="0.25">
      <c r="K1095" t="s">
        <v>379</v>
      </c>
      <c r="L1095" t="s">
        <v>206</v>
      </c>
    </row>
    <row r="1096" spans="11:12" x14ac:dyDescent="0.25">
      <c r="K1096" t="s">
        <v>380</v>
      </c>
      <c r="L1096" t="s">
        <v>207</v>
      </c>
    </row>
    <row r="1097" spans="11:12" x14ac:dyDescent="0.25">
      <c r="K1097" t="s">
        <v>381</v>
      </c>
      <c r="L1097" t="s">
        <v>95</v>
      </c>
    </row>
  </sheetData>
  <dataValidations count="38">
    <dataValidation type="list" allowBlank="1" showInputMessage="1" showErrorMessage="1" sqref="J10 J18:J19" xr:uid="{00000000-0002-0000-0400-000000000000}">
      <formula1>$R$974:$R$979</formula1>
    </dataValidation>
    <dataValidation type="list" allowBlank="1" showInputMessage="1" showErrorMessage="1" sqref="J2:J6" xr:uid="{00000000-0002-0000-0400-000001000000}">
      <formula1>$R$974:$R$976</formula1>
    </dataValidation>
    <dataValidation type="list" allowBlank="1" showInputMessage="1" showErrorMessage="1" sqref="J37:J971" xr:uid="{00000000-0002-0000-0400-000002000000}">
      <formula1>$R$974:$R$978</formula1>
    </dataValidation>
    <dataValidation type="list" allowBlank="1" showInputMessage="1" showErrorMessage="1" sqref="L37:L970 L18:L19 L34:L35 L3:L13 L21:L27 L29:L32" xr:uid="{00000000-0002-0000-0400-000003000000}">
      <formula1>$N$974:$N$1000</formula1>
    </dataValidation>
    <dataValidation type="list" allowBlank="1" showInputMessage="1" showErrorMessage="1" sqref="K37:K970 K18:K19 K34:K35 K3:K13 K21:K27 K29:K32" xr:uid="{00000000-0002-0000-0400-000004000000}">
      <formula1>$M$974:$M$1000</formula1>
    </dataValidation>
    <dataValidation type="list" allowBlank="1" showInputMessage="1" showErrorMessage="1" sqref="J36" xr:uid="{00000000-0002-0000-0400-000005000000}">
      <formula1>$R$958:$R$962</formula1>
    </dataValidation>
    <dataValidation type="list" allowBlank="1" showInputMessage="1" showErrorMessage="1" sqref="L36" xr:uid="{00000000-0002-0000-0400-000006000000}">
      <formula1>$N$958:$N$984</formula1>
    </dataValidation>
    <dataValidation type="list" allowBlank="1" showInputMessage="1" showErrorMessage="1" sqref="K36" xr:uid="{00000000-0002-0000-0400-000007000000}">
      <formula1>$M$958:$M$984</formula1>
    </dataValidation>
    <dataValidation type="list" allowBlank="1" showInputMessage="1" showErrorMessage="1" sqref="J12 J7:J8 J32 J34:J35" xr:uid="{00000000-0002-0000-0400-000008000000}">
      <formula1>$R$974:$R$977</formula1>
    </dataValidation>
    <dataValidation type="list" allowBlank="1" showInputMessage="1" showErrorMessage="1" sqref="N23 N3:N13" xr:uid="{00000000-0002-0000-0400-000009000000}">
      <formula1>$P$975:$P$1000</formula1>
    </dataValidation>
    <dataValidation type="list" allowBlank="1" showInputMessage="1" showErrorMessage="1" sqref="K2" xr:uid="{00000000-0002-0000-0400-00000A000000}">
      <formula1>$M$974:$M$999</formula1>
    </dataValidation>
    <dataValidation type="list" allowBlank="1" showInputMessage="1" showErrorMessage="1" sqref="L2" xr:uid="{00000000-0002-0000-0400-00000B000000}">
      <formula1>$N$974:$N$999</formula1>
    </dataValidation>
    <dataValidation type="list" allowBlank="1" showInputMessage="1" showErrorMessage="1" sqref="M2" xr:uid="{00000000-0002-0000-0400-00000C000000}">
      <formula1>$O$974:$O$999</formula1>
    </dataValidation>
    <dataValidation type="list" allowBlank="1" showInputMessage="1" showErrorMessage="1" sqref="N2" xr:uid="{00000000-0002-0000-0400-00000D000000}">
      <formula1>$P$974:$P$999</formula1>
    </dataValidation>
    <dataValidation type="list" allowBlank="1" showInputMessage="1" showErrorMessage="1" sqref="N34:N972 N21:N22 N18:N19 N24:N27 N29:N32" xr:uid="{00000000-0002-0000-0400-00000E000000}">
      <formula1>$P$974:$P$1000</formula1>
    </dataValidation>
    <dataValidation type="list" allowBlank="1" showInputMessage="1" showErrorMessage="1" sqref="M34:M970 M18:M19 M3:M13 M21:M27 M29:M32" xr:uid="{00000000-0002-0000-0400-00000F000000}">
      <formula1>$O$974:$O$1000</formula1>
    </dataValidation>
    <dataValidation type="list" allowBlank="1" showInputMessage="1" showErrorMessage="1" sqref="J14 J17" xr:uid="{00000000-0002-0000-0400-000010000000}">
      <formula1>$R$1006:$R$1009</formula1>
    </dataValidation>
    <dataValidation type="list" allowBlank="1" showInputMessage="1" showErrorMessage="1" sqref="N14 N20 N17" xr:uid="{00000000-0002-0000-0400-000011000000}">
      <formula1>$P$1007:$P$1032</formula1>
    </dataValidation>
    <dataValidation type="list" allowBlank="1" showInputMessage="1" showErrorMessage="1" sqref="M14 M20 M17" xr:uid="{00000000-0002-0000-0400-000012000000}">
      <formula1>$O$1006:$O$1032</formula1>
    </dataValidation>
    <dataValidation type="list" allowBlank="1" showInputMessage="1" showErrorMessage="1" sqref="L14 L20 L17" xr:uid="{00000000-0002-0000-0400-000013000000}">
      <formula1>$N$1006:$N$1032</formula1>
    </dataValidation>
    <dataValidation type="list" allowBlank="1" showInputMessage="1" showErrorMessage="1" sqref="K14 K20 K17" xr:uid="{00000000-0002-0000-0400-000014000000}">
      <formula1>$M$1006:$M$1032</formula1>
    </dataValidation>
    <dataValidation type="list" allowBlank="1" showInputMessage="1" showErrorMessage="1" sqref="J15:J16" xr:uid="{00000000-0002-0000-0400-000015000000}">
      <formula1>$R$1004:$R$1007</formula1>
    </dataValidation>
    <dataValidation type="list" allowBlank="1" showInputMessage="1" showErrorMessage="1" sqref="N15:N16" xr:uid="{00000000-0002-0000-0400-000016000000}">
      <formula1>$P$1005:$P$1030</formula1>
    </dataValidation>
    <dataValidation type="list" allowBlank="1" showInputMessage="1" showErrorMessage="1" sqref="M15:M16" xr:uid="{00000000-0002-0000-0400-000017000000}">
      <formula1>$O$1004:$O$1030</formula1>
    </dataValidation>
    <dataValidation type="list" allowBlank="1" showInputMessage="1" showErrorMessage="1" sqref="L15:L16" xr:uid="{00000000-0002-0000-0400-000018000000}">
      <formula1>$N$1004:$N$1030</formula1>
    </dataValidation>
    <dataValidation type="list" allowBlank="1" showInputMessage="1" showErrorMessage="1" sqref="K15:K16" xr:uid="{00000000-0002-0000-0400-000019000000}">
      <formula1>$M$1004:$M$1030</formula1>
    </dataValidation>
    <dataValidation type="list" allowBlank="1" showInputMessage="1" showErrorMessage="1" sqref="N33" xr:uid="{00000000-0002-0000-0400-00001A000000}">
      <formula1>$P$1003:$P$1029</formula1>
    </dataValidation>
    <dataValidation type="list" allowBlank="1" showInputMessage="1" showErrorMessage="1" sqref="J33" xr:uid="{00000000-0002-0000-0400-00001B000000}">
      <formula1>$R$1003:$R$1006</formula1>
    </dataValidation>
    <dataValidation type="list" allowBlank="1" showInputMessage="1" showErrorMessage="1" sqref="M33" xr:uid="{00000000-0002-0000-0400-00001C000000}">
      <formula1>$O$1003:$O$1029</formula1>
    </dataValidation>
    <dataValidation type="list" allowBlank="1" showInputMessage="1" showErrorMessage="1" sqref="L33" xr:uid="{00000000-0002-0000-0400-00001D000000}">
      <formula1>$N$1003:$N$1029</formula1>
    </dataValidation>
    <dataValidation type="list" allowBlank="1" showInputMessage="1" showErrorMessage="1" sqref="K33" xr:uid="{00000000-0002-0000-0400-00001E000000}">
      <formula1>$M$1003:$M$1029</formula1>
    </dataValidation>
    <dataValidation type="list" allowBlank="1" showInputMessage="1" showErrorMessage="1" sqref="N28" xr:uid="{00000000-0002-0000-0400-00001F000000}">
      <formula1>$P$1002:$P$1028</formula1>
    </dataValidation>
    <dataValidation type="list" allowBlank="1" showInputMessage="1" showErrorMessage="1" sqref="J20:J31" xr:uid="{00000000-0002-0000-0400-000020000000}">
      <formula1>$R$974:$R$980</formula1>
    </dataValidation>
    <dataValidation type="list" allowBlank="1" showInputMessage="1" showErrorMessage="1" sqref="M28" xr:uid="{00000000-0002-0000-0400-000021000000}">
      <formula1>$O$1002:$O$1028</formula1>
    </dataValidation>
    <dataValidation type="list" allowBlank="1" showInputMessage="1" showErrorMessage="1" sqref="L28" xr:uid="{00000000-0002-0000-0400-000022000000}">
      <formula1>$N$1002:$N$1028</formula1>
    </dataValidation>
    <dataValidation type="list" allowBlank="1" showInputMessage="1" showErrorMessage="1" sqref="K28" xr:uid="{00000000-0002-0000-0400-000023000000}">
      <formula1>$M$1002:$M$1028</formula1>
    </dataValidation>
    <dataValidation type="list" allowBlank="1" showInputMessage="1" showErrorMessage="1" sqref="J11" xr:uid="{00000000-0002-0000-0400-000024000000}">
      <formula1>$R$974:$R$981</formula1>
    </dataValidation>
    <dataValidation type="list" allowBlank="1" showInputMessage="1" showErrorMessage="1" sqref="J13 J9" xr:uid="{00000000-0002-0000-0400-000025000000}">
      <formula1>$R$974:$R$982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1115"/>
  <sheetViews>
    <sheetView workbookViewId="0">
      <pane xSplit="7590" ySplit="900" topLeftCell="R25" activePane="bottomRight"/>
      <selection activeCell="T2" sqref="T2"/>
      <selection pane="topRight" activeCell="T2" sqref="T2"/>
      <selection pane="bottomLeft" activeCell="T2" sqref="T2"/>
      <selection pane="bottomRight" activeCell="T2" sqref="T2"/>
    </sheetView>
  </sheetViews>
  <sheetFormatPr defaultRowHeight="15" x14ac:dyDescent="0.25"/>
  <cols>
    <col min="1" max="1" width="6.7109375" customWidth="1"/>
    <col min="2" max="2" width="8.5703125" customWidth="1"/>
    <col min="3" max="3" width="7.85546875" customWidth="1"/>
    <col min="4" max="4" width="16.85546875" customWidth="1"/>
    <col min="5" max="5" width="7.7109375" customWidth="1"/>
    <col min="6" max="6" width="12.7109375" customWidth="1"/>
    <col min="7" max="7" width="14.85546875" customWidth="1"/>
    <col min="8" max="8" width="7.42578125" customWidth="1"/>
    <col min="9" max="10" width="9.85546875" customWidth="1"/>
    <col min="11" max="11" width="25.28515625" customWidth="1"/>
    <col min="12" max="12" width="9.140625" customWidth="1"/>
    <col min="13" max="13" width="22.85546875" customWidth="1"/>
    <col min="14" max="14" width="9.85546875" customWidth="1"/>
    <col min="15" max="16" width="6.42578125" customWidth="1"/>
    <col min="17" max="18" width="34.5703125" customWidth="1"/>
    <col min="19" max="19" width="23" customWidth="1"/>
    <col min="20" max="20" width="19.5703125" customWidth="1"/>
  </cols>
  <sheetData>
    <row r="1" spans="1:20" x14ac:dyDescent="0.25">
      <c r="A1" s="1" t="s">
        <v>414</v>
      </c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432</v>
      </c>
      <c r="K1" s="1" t="s">
        <v>426</v>
      </c>
      <c r="L1" s="1" t="s">
        <v>425</v>
      </c>
      <c r="M1" s="1" t="s">
        <v>427</v>
      </c>
      <c r="N1" s="1" t="s">
        <v>428</v>
      </c>
      <c r="O1" s="1" t="s">
        <v>429</v>
      </c>
      <c r="P1" s="1" t="s">
        <v>430</v>
      </c>
      <c r="Q1" s="1" t="s">
        <v>472</v>
      </c>
      <c r="R1" s="1" t="s">
        <v>431</v>
      </c>
      <c r="S1" s="1" t="s">
        <v>423</v>
      </c>
      <c r="T1" s="1" t="s">
        <v>424</v>
      </c>
    </row>
    <row r="2" spans="1:20" s="3" customFormat="1" x14ac:dyDescent="0.25">
      <c r="A2" s="3" t="s">
        <v>747</v>
      </c>
      <c r="B2" s="3" t="s">
        <v>517</v>
      </c>
      <c r="C2" s="3" t="s">
        <v>523</v>
      </c>
      <c r="J2" s="3" t="s">
        <v>702</v>
      </c>
      <c r="K2" s="3" t="s">
        <v>443</v>
      </c>
      <c r="L2" s="3" t="s">
        <v>405</v>
      </c>
      <c r="M2" s="3" t="s">
        <v>451</v>
      </c>
      <c r="N2" s="3" t="s">
        <v>401</v>
      </c>
      <c r="Q2" s="3" t="s">
        <v>532</v>
      </c>
      <c r="R2" s="3" t="s">
        <v>771</v>
      </c>
      <c r="S2" s="3" t="s">
        <v>651</v>
      </c>
      <c r="T2" t="s">
        <v>1021</v>
      </c>
    </row>
    <row r="3" spans="1:20" x14ac:dyDescent="0.25">
      <c r="A3" s="3" t="s">
        <v>747</v>
      </c>
      <c r="B3" t="s">
        <v>517</v>
      </c>
      <c r="C3" t="s">
        <v>523</v>
      </c>
      <c r="D3" t="s">
        <v>514</v>
      </c>
      <c r="E3" t="s">
        <v>524</v>
      </c>
      <c r="J3" t="s">
        <v>753</v>
      </c>
      <c r="K3" t="s">
        <v>443</v>
      </c>
      <c r="L3" t="s">
        <v>405</v>
      </c>
      <c r="M3" t="s">
        <v>446</v>
      </c>
      <c r="N3" t="s">
        <v>399</v>
      </c>
      <c r="Q3" t="s">
        <v>533</v>
      </c>
      <c r="R3" t="s">
        <v>771</v>
      </c>
      <c r="S3" t="s">
        <v>650</v>
      </c>
      <c r="T3" t="s">
        <v>1021</v>
      </c>
    </row>
    <row r="4" spans="1:20" x14ac:dyDescent="0.25">
      <c r="A4" s="3" t="s">
        <v>747</v>
      </c>
      <c r="B4" t="s">
        <v>517</v>
      </c>
      <c r="C4" t="s">
        <v>523</v>
      </c>
      <c r="D4" t="s">
        <v>515</v>
      </c>
      <c r="E4" t="s">
        <v>525</v>
      </c>
      <c r="J4" t="s">
        <v>702</v>
      </c>
      <c r="K4" t="s">
        <v>443</v>
      </c>
      <c r="L4" t="s">
        <v>405</v>
      </c>
      <c r="M4" t="s">
        <v>451</v>
      </c>
      <c r="N4" t="s">
        <v>401</v>
      </c>
      <c r="Q4" t="s">
        <v>534</v>
      </c>
      <c r="R4" t="s">
        <v>771</v>
      </c>
      <c r="S4" t="s">
        <v>649</v>
      </c>
      <c r="T4" t="s">
        <v>1021</v>
      </c>
    </row>
    <row r="5" spans="1:20" x14ac:dyDescent="0.25">
      <c r="A5" s="3" t="s">
        <v>747</v>
      </c>
      <c r="B5" t="s">
        <v>517</v>
      </c>
      <c r="C5" t="s">
        <v>523</v>
      </c>
      <c r="D5" t="s">
        <v>516</v>
      </c>
      <c r="E5" t="s">
        <v>526</v>
      </c>
      <c r="J5" t="s">
        <v>753</v>
      </c>
      <c r="K5" t="s">
        <v>443</v>
      </c>
      <c r="L5" t="s">
        <v>405</v>
      </c>
      <c r="Q5" t="s">
        <v>535</v>
      </c>
      <c r="R5" t="s">
        <v>771</v>
      </c>
      <c r="S5" t="s">
        <v>650</v>
      </c>
      <c r="T5" t="s">
        <v>1021</v>
      </c>
    </row>
    <row r="6" spans="1:20" x14ac:dyDescent="0.25">
      <c r="A6" s="3" t="s">
        <v>747</v>
      </c>
      <c r="B6" t="s">
        <v>517</v>
      </c>
      <c r="C6" t="s">
        <v>523</v>
      </c>
      <c r="D6" t="s">
        <v>518</v>
      </c>
      <c r="E6" t="s">
        <v>527</v>
      </c>
      <c r="J6" t="s">
        <v>702</v>
      </c>
      <c r="K6" t="s">
        <v>451</v>
      </c>
      <c r="L6" t="s">
        <v>401</v>
      </c>
      <c r="M6" t="s">
        <v>443</v>
      </c>
      <c r="N6" t="s">
        <v>405</v>
      </c>
      <c r="Q6" t="s">
        <v>536</v>
      </c>
      <c r="R6" t="s">
        <v>771</v>
      </c>
      <c r="S6" t="s">
        <v>649</v>
      </c>
      <c r="T6" t="s">
        <v>1021</v>
      </c>
    </row>
    <row r="7" spans="1:20" s="3" customFormat="1" x14ac:dyDescent="0.25">
      <c r="A7" s="3" t="s">
        <v>747</v>
      </c>
      <c r="B7" s="3" t="s">
        <v>519</v>
      </c>
      <c r="C7" s="3" t="s">
        <v>528</v>
      </c>
      <c r="J7" s="3" t="s">
        <v>436</v>
      </c>
      <c r="R7" s="3" t="s">
        <v>799</v>
      </c>
      <c r="S7" s="3" t="s">
        <v>646</v>
      </c>
      <c r="T7" t="s">
        <v>1021</v>
      </c>
    </row>
    <row r="8" spans="1:20" s="3" customFormat="1" x14ac:dyDescent="0.25">
      <c r="A8" s="3" t="s">
        <v>747</v>
      </c>
      <c r="B8" s="3" t="s">
        <v>519</v>
      </c>
      <c r="C8" s="3" t="s">
        <v>528</v>
      </c>
      <c r="D8" s="3" t="s">
        <v>520</v>
      </c>
      <c r="E8" s="3" t="s">
        <v>530</v>
      </c>
      <c r="J8" s="3" t="s">
        <v>436</v>
      </c>
      <c r="K8" s="3" t="s">
        <v>444</v>
      </c>
      <c r="L8" s="3" t="s">
        <v>406</v>
      </c>
      <c r="M8" s="3" t="s">
        <v>450</v>
      </c>
      <c r="N8" s="3" t="s">
        <v>400</v>
      </c>
      <c r="Q8" s="3" t="s">
        <v>537</v>
      </c>
      <c r="R8" s="3" t="s">
        <v>799</v>
      </c>
      <c r="S8" s="3" t="s">
        <v>716</v>
      </c>
      <c r="T8" t="s">
        <v>1021</v>
      </c>
    </row>
    <row r="9" spans="1:20" s="3" customFormat="1" x14ac:dyDescent="0.25">
      <c r="A9" s="3" t="s">
        <v>747</v>
      </c>
      <c r="B9" s="3" t="s">
        <v>521</v>
      </c>
      <c r="C9" s="3" t="s">
        <v>529</v>
      </c>
      <c r="J9" s="3" t="s">
        <v>436</v>
      </c>
      <c r="R9" s="3" t="s">
        <v>800</v>
      </c>
      <c r="S9" s="3" t="s">
        <v>645</v>
      </c>
      <c r="T9" t="s">
        <v>1021</v>
      </c>
    </row>
    <row r="10" spans="1:20" s="3" customFormat="1" x14ac:dyDescent="0.25">
      <c r="A10" s="3" t="s">
        <v>747</v>
      </c>
      <c r="B10" s="3" t="s">
        <v>521</v>
      </c>
      <c r="C10" s="3" t="s">
        <v>529</v>
      </c>
      <c r="D10" s="3" t="s">
        <v>522</v>
      </c>
      <c r="E10" s="3" t="s">
        <v>531</v>
      </c>
      <c r="J10" s="3" t="s">
        <v>436</v>
      </c>
      <c r="K10" s="3" t="s">
        <v>443</v>
      </c>
      <c r="L10" s="3" t="s">
        <v>405</v>
      </c>
      <c r="M10" s="3" t="s">
        <v>451</v>
      </c>
      <c r="N10" s="3" t="s">
        <v>401</v>
      </c>
      <c r="Q10" s="3" t="s">
        <v>540</v>
      </c>
      <c r="R10" s="3" t="s">
        <v>800</v>
      </c>
      <c r="S10" s="3" t="s">
        <v>645</v>
      </c>
      <c r="T10" t="s">
        <v>1021</v>
      </c>
    </row>
    <row r="11" spans="1:20" x14ac:dyDescent="0.25">
      <c r="A11" s="3" t="s">
        <v>747</v>
      </c>
      <c r="B11" t="s">
        <v>387</v>
      </c>
      <c r="C11" t="s">
        <v>154</v>
      </c>
      <c r="J11" t="s">
        <v>436</v>
      </c>
      <c r="K11" t="s">
        <v>442</v>
      </c>
      <c r="L11" t="s">
        <v>408</v>
      </c>
      <c r="M11" t="s">
        <v>461</v>
      </c>
      <c r="N11" t="s">
        <v>397</v>
      </c>
      <c r="R11" t="s">
        <v>798</v>
      </c>
      <c r="S11" t="s">
        <v>648</v>
      </c>
      <c r="T11" t="s">
        <v>1021</v>
      </c>
    </row>
    <row r="12" spans="1:20" s="3" customFormat="1" x14ac:dyDescent="0.25">
      <c r="A12" s="3" t="s">
        <v>747</v>
      </c>
      <c r="B12" s="3" t="s">
        <v>387</v>
      </c>
      <c r="C12" s="3" t="s">
        <v>154</v>
      </c>
      <c r="D12" s="3" t="s">
        <v>541</v>
      </c>
      <c r="E12" s="3" t="s">
        <v>550</v>
      </c>
      <c r="J12" s="3" t="s">
        <v>434</v>
      </c>
      <c r="K12" s="3" t="s">
        <v>442</v>
      </c>
      <c r="L12" s="3" t="s">
        <v>408</v>
      </c>
      <c r="M12" s="3" t="s">
        <v>461</v>
      </c>
      <c r="N12" s="3" t="s">
        <v>397</v>
      </c>
      <c r="Q12" s="3" t="s">
        <v>559</v>
      </c>
      <c r="R12" s="3" t="s">
        <v>771</v>
      </c>
      <c r="S12" s="3" t="s">
        <v>648</v>
      </c>
      <c r="T12" t="s">
        <v>1021</v>
      </c>
    </row>
    <row r="13" spans="1:20" s="3" customFormat="1" x14ac:dyDescent="0.25">
      <c r="A13" s="3" t="s">
        <v>747</v>
      </c>
      <c r="B13" s="3" t="s">
        <v>387</v>
      </c>
      <c r="C13" s="3" t="s">
        <v>154</v>
      </c>
      <c r="D13" s="3" t="s">
        <v>542</v>
      </c>
      <c r="E13" s="3" t="s">
        <v>552</v>
      </c>
      <c r="J13" s="3" t="s">
        <v>434</v>
      </c>
      <c r="K13" s="3" t="s">
        <v>442</v>
      </c>
      <c r="L13" s="3" t="s">
        <v>408</v>
      </c>
      <c r="M13" s="3" t="s">
        <v>461</v>
      </c>
      <c r="N13" s="3" t="s">
        <v>397</v>
      </c>
      <c r="R13" s="3" t="s">
        <v>771</v>
      </c>
      <c r="S13" s="3" t="s">
        <v>648</v>
      </c>
      <c r="T13" t="s">
        <v>1021</v>
      </c>
    </row>
    <row r="14" spans="1:20" s="3" customFormat="1" x14ac:dyDescent="0.25">
      <c r="A14" s="3" t="s">
        <v>747</v>
      </c>
      <c r="B14" s="3" t="s">
        <v>387</v>
      </c>
      <c r="C14" s="3" t="s">
        <v>154</v>
      </c>
      <c r="D14" s="3" t="s">
        <v>543</v>
      </c>
      <c r="E14" s="3" t="s">
        <v>551</v>
      </c>
      <c r="J14" s="3" t="s">
        <v>434</v>
      </c>
      <c r="K14" s="3" t="s">
        <v>442</v>
      </c>
      <c r="L14" s="3" t="s">
        <v>408</v>
      </c>
      <c r="M14" s="3" t="s">
        <v>461</v>
      </c>
      <c r="N14" s="3" t="s">
        <v>397</v>
      </c>
      <c r="Q14" s="3" t="s">
        <v>560</v>
      </c>
      <c r="R14" s="3" t="s">
        <v>771</v>
      </c>
      <c r="S14" s="3" t="s">
        <v>648</v>
      </c>
      <c r="T14" t="s">
        <v>1021</v>
      </c>
    </row>
    <row r="15" spans="1:20" s="3" customFormat="1" x14ac:dyDescent="0.25">
      <c r="A15" s="3" t="s">
        <v>747</v>
      </c>
      <c r="B15" s="3" t="s">
        <v>387</v>
      </c>
      <c r="C15" s="3" t="s">
        <v>154</v>
      </c>
      <c r="D15" s="3" t="s">
        <v>544</v>
      </c>
      <c r="E15" s="3" t="s">
        <v>553</v>
      </c>
      <c r="J15" s="3" t="s">
        <v>434</v>
      </c>
      <c r="K15" s="3" t="s">
        <v>442</v>
      </c>
      <c r="L15" s="3" t="s">
        <v>408</v>
      </c>
      <c r="M15" s="3" t="s">
        <v>461</v>
      </c>
      <c r="N15" s="3" t="s">
        <v>397</v>
      </c>
      <c r="Q15" s="3" t="s">
        <v>561</v>
      </c>
      <c r="R15" s="3" t="s">
        <v>771</v>
      </c>
      <c r="S15" s="3" t="s">
        <v>648</v>
      </c>
      <c r="T15" t="s">
        <v>1021</v>
      </c>
    </row>
    <row r="16" spans="1:20" s="3" customFormat="1" x14ac:dyDescent="0.25">
      <c r="A16" s="3" t="s">
        <v>747</v>
      </c>
      <c r="B16" s="3" t="s">
        <v>387</v>
      </c>
      <c r="C16" s="3" t="s">
        <v>154</v>
      </c>
      <c r="D16" s="3" t="s">
        <v>545</v>
      </c>
      <c r="E16" s="3" t="s">
        <v>554</v>
      </c>
      <c r="J16" s="3" t="s">
        <v>434</v>
      </c>
      <c r="K16" s="3" t="s">
        <v>442</v>
      </c>
      <c r="L16" s="3" t="s">
        <v>408</v>
      </c>
      <c r="M16" s="3" t="s">
        <v>461</v>
      </c>
      <c r="N16" s="3" t="s">
        <v>397</v>
      </c>
      <c r="Q16" s="3" t="s">
        <v>562</v>
      </c>
      <c r="R16" s="3" t="s">
        <v>771</v>
      </c>
      <c r="S16" s="3" t="s">
        <v>648</v>
      </c>
      <c r="T16" t="s">
        <v>1021</v>
      </c>
    </row>
    <row r="17" spans="1:20" s="3" customFormat="1" x14ac:dyDescent="0.25">
      <c r="A17" s="3" t="s">
        <v>747</v>
      </c>
      <c r="B17" s="3" t="s">
        <v>387</v>
      </c>
      <c r="C17" s="3" t="s">
        <v>154</v>
      </c>
      <c r="D17" s="3" t="s">
        <v>546</v>
      </c>
      <c r="E17" s="3" t="s">
        <v>555</v>
      </c>
      <c r="J17" s="3" t="s">
        <v>434</v>
      </c>
      <c r="K17" s="3" t="s">
        <v>442</v>
      </c>
      <c r="L17" s="3" t="s">
        <v>408</v>
      </c>
      <c r="M17" s="3" t="s">
        <v>563</v>
      </c>
      <c r="N17" s="3" t="s">
        <v>397</v>
      </c>
      <c r="Q17" s="3" t="s">
        <v>565</v>
      </c>
      <c r="R17" s="3" t="s">
        <v>771</v>
      </c>
      <c r="S17" s="3" t="s">
        <v>648</v>
      </c>
      <c r="T17" t="s">
        <v>1021</v>
      </c>
    </row>
    <row r="18" spans="1:20" s="3" customFormat="1" x14ac:dyDescent="0.25">
      <c r="A18" s="3" t="s">
        <v>747</v>
      </c>
      <c r="B18" s="3" t="s">
        <v>387</v>
      </c>
      <c r="C18" s="3" t="s">
        <v>154</v>
      </c>
      <c r="D18" s="3" t="s">
        <v>547</v>
      </c>
      <c r="E18" s="3" t="s">
        <v>556</v>
      </c>
      <c r="J18" s="3" t="s">
        <v>436</v>
      </c>
      <c r="K18" s="3" t="s">
        <v>442</v>
      </c>
      <c r="L18" s="3" t="s">
        <v>408</v>
      </c>
      <c r="M18" s="3" t="s">
        <v>563</v>
      </c>
      <c r="N18" s="3" t="s">
        <v>564</v>
      </c>
      <c r="Q18" s="3" t="s">
        <v>566</v>
      </c>
      <c r="R18" s="3" t="s">
        <v>771</v>
      </c>
      <c r="S18" s="3" t="s">
        <v>648</v>
      </c>
      <c r="T18" t="s">
        <v>1021</v>
      </c>
    </row>
    <row r="19" spans="1:20" s="3" customFormat="1" x14ac:dyDescent="0.25">
      <c r="A19" s="3" t="s">
        <v>747</v>
      </c>
      <c r="B19" s="3" t="s">
        <v>387</v>
      </c>
      <c r="C19" s="3" t="s">
        <v>154</v>
      </c>
      <c r="D19" s="3" t="s">
        <v>547</v>
      </c>
      <c r="E19" s="3" t="s">
        <v>556</v>
      </c>
      <c r="F19" s="3" t="s">
        <v>567</v>
      </c>
      <c r="G19" s="3" t="s">
        <v>569</v>
      </c>
      <c r="J19" s="3" t="s">
        <v>434</v>
      </c>
      <c r="K19" s="3" t="s">
        <v>442</v>
      </c>
      <c r="L19" s="3" t="s">
        <v>408</v>
      </c>
      <c r="R19" s="3" t="s">
        <v>771</v>
      </c>
      <c r="S19" s="3" t="s">
        <v>648</v>
      </c>
      <c r="T19" t="s">
        <v>1021</v>
      </c>
    </row>
    <row r="20" spans="1:20" s="3" customFormat="1" x14ac:dyDescent="0.25">
      <c r="A20" s="3" t="s">
        <v>747</v>
      </c>
      <c r="B20" s="3" t="s">
        <v>387</v>
      </c>
      <c r="C20" s="3" t="s">
        <v>154</v>
      </c>
      <c r="D20" s="3" t="s">
        <v>547</v>
      </c>
      <c r="E20" s="3" t="s">
        <v>556</v>
      </c>
      <c r="F20" s="3" t="s">
        <v>568</v>
      </c>
      <c r="G20" s="3" t="s">
        <v>570</v>
      </c>
      <c r="J20" s="3" t="s">
        <v>436</v>
      </c>
      <c r="K20" s="3" t="s">
        <v>563</v>
      </c>
      <c r="L20" s="3" t="s">
        <v>564</v>
      </c>
      <c r="Q20" s="3" t="s">
        <v>571</v>
      </c>
      <c r="R20" s="3" t="s">
        <v>771</v>
      </c>
      <c r="S20" s="3" t="s">
        <v>648</v>
      </c>
      <c r="T20" t="s">
        <v>1021</v>
      </c>
    </row>
    <row r="21" spans="1:20" x14ac:dyDescent="0.25">
      <c r="A21" s="3" t="s">
        <v>747</v>
      </c>
      <c r="B21" t="s">
        <v>387</v>
      </c>
      <c r="C21" t="s">
        <v>154</v>
      </c>
      <c r="D21" t="s">
        <v>548</v>
      </c>
      <c r="E21" t="s">
        <v>557</v>
      </c>
      <c r="J21" t="s">
        <v>434</v>
      </c>
      <c r="K21" t="s">
        <v>442</v>
      </c>
      <c r="L21" t="s">
        <v>408</v>
      </c>
      <c r="M21" t="s">
        <v>563</v>
      </c>
      <c r="N21" t="s">
        <v>564</v>
      </c>
      <c r="Q21" t="s">
        <v>572</v>
      </c>
      <c r="R21" s="3" t="s">
        <v>771</v>
      </c>
      <c r="S21" t="s">
        <v>648</v>
      </c>
      <c r="T21" t="s">
        <v>1021</v>
      </c>
    </row>
    <row r="22" spans="1:20" x14ac:dyDescent="0.25">
      <c r="A22" s="3" t="s">
        <v>747</v>
      </c>
      <c r="B22" t="s">
        <v>387</v>
      </c>
      <c r="C22" t="s">
        <v>154</v>
      </c>
      <c r="D22" t="s">
        <v>549</v>
      </c>
      <c r="E22" t="s">
        <v>558</v>
      </c>
      <c r="J22" t="s">
        <v>436</v>
      </c>
      <c r="K22" t="s">
        <v>442</v>
      </c>
      <c r="L22" t="s">
        <v>408</v>
      </c>
      <c r="M22" t="s">
        <v>563</v>
      </c>
      <c r="N22" t="s">
        <v>564</v>
      </c>
      <c r="Q22" t="s">
        <v>573</v>
      </c>
      <c r="R22" t="s">
        <v>771</v>
      </c>
      <c r="S22" t="s">
        <v>648</v>
      </c>
      <c r="T22" t="s">
        <v>1021</v>
      </c>
    </row>
    <row r="23" spans="1:20" x14ac:dyDescent="0.25">
      <c r="A23" s="3" t="s">
        <v>747</v>
      </c>
      <c r="B23" t="s">
        <v>387</v>
      </c>
      <c r="C23" t="s">
        <v>154</v>
      </c>
      <c r="D23" t="s">
        <v>549</v>
      </c>
      <c r="E23" t="s">
        <v>558</v>
      </c>
      <c r="F23" t="s">
        <v>574</v>
      </c>
      <c r="G23" t="s">
        <v>575</v>
      </c>
      <c r="J23" t="s">
        <v>436</v>
      </c>
      <c r="K23" t="s">
        <v>563</v>
      </c>
      <c r="L23" t="s">
        <v>564</v>
      </c>
      <c r="Q23" t="s">
        <v>576</v>
      </c>
      <c r="R23" t="s">
        <v>771</v>
      </c>
      <c r="S23" t="s">
        <v>648</v>
      </c>
      <c r="T23" t="s">
        <v>1021</v>
      </c>
    </row>
    <row r="24" spans="1:20" x14ac:dyDescent="0.25">
      <c r="A24" s="3" t="s">
        <v>747</v>
      </c>
      <c r="B24" t="s">
        <v>578</v>
      </c>
      <c r="C24" t="s">
        <v>577</v>
      </c>
      <c r="J24" t="s">
        <v>436</v>
      </c>
      <c r="K24" t="s">
        <v>443</v>
      </c>
      <c r="L24" t="s">
        <v>405</v>
      </c>
      <c r="M24" t="s">
        <v>449</v>
      </c>
      <c r="N24" t="s">
        <v>402</v>
      </c>
      <c r="Q24" t="s">
        <v>579</v>
      </c>
      <c r="R24" t="s">
        <v>797</v>
      </c>
      <c r="S24" t="s">
        <v>667</v>
      </c>
      <c r="T24" t="s">
        <v>1021</v>
      </c>
    </row>
    <row r="25" spans="1:20" x14ac:dyDescent="0.25">
      <c r="A25" s="3" t="s">
        <v>747</v>
      </c>
      <c r="B25" t="s">
        <v>578</v>
      </c>
      <c r="C25" t="s">
        <v>577</v>
      </c>
      <c r="D25" t="s">
        <v>581</v>
      </c>
      <c r="E25" t="s">
        <v>582</v>
      </c>
      <c r="J25" t="s">
        <v>583</v>
      </c>
      <c r="K25" t="s">
        <v>445</v>
      </c>
      <c r="L25" t="s">
        <v>407</v>
      </c>
      <c r="M25" t="s">
        <v>450</v>
      </c>
      <c r="N25" t="s">
        <v>400</v>
      </c>
      <c r="Q25" t="s">
        <v>584</v>
      </c>
      <c r="R25" t="s">
        <v>787</v>
      </c>
      <c r="S25" t="s">
        <v>650</v>
      </c>
      <c r="T25" t="s">
        <v>1021</v>
      </c>
    </row>
    <row r="26" spans="1:20" x14ac:dyDescent="0.25">
      <c r="A26" s="3" t="s">
        <v>747</v>
      </c>
      <c r="B26" t="s">
        <v>578</v>
      </c>
      <c r="C26" t="s">
        <v>577</v>
      </c>
      <c r="D26" t="s">
        <v>585</v>
      </c>
      <c r="E26" t="s">
        <v>586</v>
      </c>
      <c r="J26" t="s">
        <v>436</v>
      </c>
      <c r="K26" t="s">
        <v>449</v>
      </c>
      <c r="L26" t="s">
        <v>402</v>
      </c>
      <c r="Q26" t="s">
        <v>587</v>
      </c>
      <c r="R26" t="s">
        <v>795</v>
      </c>
      <c r="S26" t="s">
        <v>666</v>
      </c>
      <c r="T26" t="s">
        <v>1021</v>
      </c>
    </row>
    <row r="27" spans="1:20" x14ac:dyDescent="0.25">
      <c r="A27" s="3" t="s">
        <v>747</v>
      </c>
      <c r="B27" t="s">
        <v>588</v>
      </c>
      <c r="C27" t="s">
        <v>589</v>
      </c>
      <c r="J27" t="s">
        <v>436</v>
      </c>
      <c r="K27" t="s">
        <v>443</v>
      </c>
      <c r="L27" t="s">
        <v>405</v>
      </c>
      <c r="M27" t="s">
        <v>450</v>
      </c>
      <c r="N27" t="s">
        <v>400</v>
      </c>
      <c r="R27" t="s">
        <v>794</v>
      </c>
      <c r="S27" t="s">
        <v>580</v>
      </c>
      <c r="T27" t="s">
        <v>1021</v>
      </c>
    </row>
    <row r="28" spans="1:20" x14ac:dyDescent="0.25">
      <c r="A28" s="3" t="s">
        <v>747</v>
      </c>
      <c r="B28" t="s">
        <v>588</v>
      </c>
      <c r="C28" t="s">
        <v>589</v>
      </c>
      <c r="D28" t="s">
        <v>590</v>
      </c>
      <c r="E28" t="s">
        <v>591</v>
      </c>
      <c r="J28" t="s">
        <v>702</v>
      </c>
      <c r="K28" t="s">
        <v>443</v>
      </c>
      <c r="L28" t="s">
        <v>405</v>
      </c>
      <c r="Q28" t="s">
        <v>592</v>
      </c>
      <c r="R28" t="s">
        <v>771</v>
      </c>
      <c r="S28" t="s">
        <v>580</v>
      </c>
      <c r="T28" t="s">
        <v>1021</v>
      </c>
    </row>
    <row r="29" spans="1:20" x14ac:dyDescent="0.25">
      <c r="A29" s="3" t="s">
        <v>747</v>
      </c>
      <c r="B29" t="s">
        <v>588</v>
      </c>
      <c r="C29" t="s">
        <v>589</v>
      </c>
      <c r="D29" t="s">
        <v>593</v>
      </c>
      <c r="E29" t="s">
        <v>594</v>
      </c>
      <c r="J29" t="s">
        <v>753</v>
      </c>
      <c r="K29" t="s">
        <v>443</v>
      </c>
      <c r="L29" t="s">
        <v>405</v>
      </c>
      <c r="M29" t="s">
        <v>451</v>
      </c>
      <c r="N29" t="s">
        <v>401</v>
      </c>
      <c r="Q29" t="s">
        <v>595</v>
      </c>
      <c r="R29" t="s">
        <v>771</v>
      </c>
      <c r="S29" t="s">
        <v>669</v>
      </c>
      <c r="T29" t="s">
        <v>1021</v>
      </c>
    </row>
    <row r="30" spans="1:20" x14ac:dyDescent="0.25">
      <c r="A30" s="3" t="s">
        <v>747</v>
      </c>
      <c r="B30" t="s">
        <v>588</v>
      </c>
      <c r="C30" t="s">
        <v>589</v>
      </c>
      <c r="D30" t="s">
        <v>596</v>
      </c>
      <c r="E30" t="s">
        <v>597</v>
      </c>
      <c r="J30" t="s">
        <v>434</v>
      </c>
      <c r="K30" t="s">
        <v>450</v>
      </c>
      <c r="L30" t="s">
        <v>400</v>
      </c>
      <c r="M30" t="s">
        <v>445</v>
      </c>
      <c r="N30" t="s">
        <v>407</v>
      </c>
      <c r="Q30" t="s">
        <v>598</v>
      </c>
      <c r="R30" t="s">
        <v>771</v>
      </c>
      <c r="S30" t="s">
        <v>668</v>
      </c>
      <c r="T30" t="s">
        <v>1021</v>
      </c>
    </row>
    <row r="31" spans="1:20" x14ac:dyDescent="0.25">
      <c r="A31" s="3" t="s">
        <v>747</v>
      </c>
      <c r="B31" t="s">
        <v>588</v>
      </c>
      <c r="C31" t="s">
        <v>589</v>
      </c>
      <c r="D31" t="s">
        <v>599</v>
      </c>
      <c r="E31" t="s">
        <v>28</v>
      </c>
      <c r="J31" t="s">
        <v>763</v>
      </c>
      <c r="K31" t="s">
        <v>449</v>
      </c>
      <c r="L31" t="s">
        <v>400</v>
      </c>
      <c r="M31" t="s">
        <v>450</v>
      </c>
      <c r="N31" t="s">
        <v>400</v>
      </c>
      <c r="Q31" t="s">
        <v>600</v>
      </c>
      <c r="R31" t="s">
        <v>771</v>
      </c>
      <c r="S31" t="s">
        <v>580</v>
      </c>
      <c r="T31" t="s">
        <v>1021</v>
      </c>
    </row>
    <row r="32" spans="1:20" x14ac:dyDescent="0.25">
      <c r="A32" s="3" t="s">
        <v>747</v>
      </c>
      <c r="B32" t="s">
        <v>601</v>
      </c>
      <c r="C32" t="s">
        <v>602</v>
      </c>
      <c r="J32" t="s">
        <v>434</v>
      </c>
      <c r="K32" t="s">
        <v>449</v>
      </c>
      <c r="L32" t="s">
        <v>402</v>
      </c>
      <c r="M32" t="s">
        <v>443</v>
      </c>
      <c r="N32" t="s">
        <v>405</v>
      </c>
      <c r="R32" t="s">
        <v>793</v>
      </c>
      <c r="S32" t="s">
        <v>670</v>
      </c>
      <c r="T32" t="s">
        <v>1021</v>
      </c>
    </row>
    <row r="33" spans="1:20" x14ac:dyDescent="0.25">
      <c r="A33" s="3" t="s">
        <v>747</v>
      </c>
      <c r="B33" t="s">
        <v>601</v>
      </c>
      <c r="C33" t="s">
        <v>602</v>
      </c>
      <c r="D33" t="s">
        <v>603</v>
      </c>
      <c r="E33" t="s">
        <v>604</v>
      </c>
      <c r="J33" t="s">
        <v>434</v>
      </c>
      <c r="K33" t="s">
        <v>449</v>
      </c>
      <c r="L33" t="s">
        <v>402</v>
      </c>
      <c r="M33" t="s">
        <v>443</v>
      </c>
      <c r="N33" t="s">
        <v>405</v>
      </c>
      <c r="R33" t="s">
        <v>771</v>
      </c>
      <c r="S33" t="s">
        <v>672</v>
      </c>
      <c r="T33" t="s">
        <v>1021</v>
      </c>
    </row>
    <row r="34" spans="1:20" x14ac:dyDescent="0.25">
      <c r="A34" s="3" t="s">
        <v>747</v>
      </c>
      <c r="B34" t="s">
        <v>601</v>
      </c>
      <c r="C34" t="s">
        <v>602</v>
      </c>
      <c r="D34" t="s">
        <v>605</v>
      </c>
      <c r="E34" t="s">
        <v>606</v>
      </c>
      <c r="J34" t="s">
        <v>434</v>
      </c>
      <c r="K34" t="s">
        <v>449</v>
      </c>
      <c r="L34" t="s">
        <v>402</v>
      </c>
      <c r="M34" t="s">
        <v>443</v>
      </c>
      <c r="N34" t="s">
        <v>405</v>
      </c>
      <c r="Q34" t="s">
        <v>607</v>
      </c>
      <c r="R34" t="s">
        <v>771</v>
      </c>
      <c r="S34" t="s">
        <v>671</v>
      </c>
      <c r="T34" t="s">
        <v>1021</v>
      </c>
    </row>
    <row r="35" spans="1:20" x14ac:dyDescent="0.25">
      <c r="A35" s="3" t="s">
        <v>747</v>
      </c>
      <c r="B35" t="s">
        <v>608</v>
      </c>
      <c r="C35" t="s">
        <v>609</v>
      </c>
      <c r="J35" t="s">
        <v>434</v>
      </c>
      <c r="K35" t="s">
        <v>437</v>
      </c>
      <c r="L35" t="s">
        <v>409</v>
      </c>
      <c r="M35" t="s">
        <v>563</v>
      </c>
      <c r="N35" t="s">
        <v>564</v>
      </c>
      <c r="Q35" t="s">
        <v>610</v>
      </c>
      <c r="R35" t="s">
        <v>728</v>
      </c>
      <c r="S35" t="s">
        <v>673</v>
      </c>
      <c r="T35" t="s">
        <v>1021</v>
      </c>
    </row>
    <row r="36" spans="1:20" x14ac:dyDescent="0.25">
      <c r="A36" s="3" t="s">
        <v>747</v>
      </c>
      <c r="B36" t="s">
        <v>608</v>
      </c>
      <c r="C36" t="s">
        <v>609</v>
      </c>
      <c r="D36" t="s">
        <v>718</v>
      </c>
      <c r="E36" t="s">
        <v>720</v>
      </c>
      <c r="J36" t="s">
        <v>434</v>
      </c>
      <c r="K36" t="s">
        <v>437</v>
      </c>
      <c r="L36" t="s">
        <v>409</v>
      </c>
      <c r="M36" t="s">
        <v>563</v>
      </c>
      <c r="N36" t="s">
        <v>564</v>
      </c>
      <c r="Q36" t="s">
        <v>470</v>
      </c>
      <c r="R36" t="s">
        <v>791</v>
      </c>
      <c r="S36" t="s">
        <v>673</v>
      </c>
      <c r="T36" t="s">
        <v>1021</v>
      </c>
    </row>
    <row r="37" spans="1:20" x14ac:dyDescent="0.25">
      <c r="A37" s="3" t="s">
        <v>747</v>
      </c>
      <c r="B37" t="s">
        <v>608</v>
      </c>
      <c r="D37" t="s">
        <v>719</v>
      </c>
      <c r="E37" t="s">
        <v>721</v>
      </c>
      <c r="J37" t="s">
        <v>434</v>
      </c>
      <c r="K37" t="s">
        <v>437</v>
      </c>
      <c r="L37" t="s">
        <v>409</v>
      </c>
      <c r="M37" t="s">
        <v>563</v>
      </c>
      <c r="N37" t="s">
        <v>564</v>
      </c>
      <c r="Q37" t="s">
        <v>722</v>
      </c>
      <c r="R37" t="s">
        <v>792</v>
      </c>
      <c r="S37" t="s">
        <v>673</v>
      </c>
      <c r="T37" t="s">
        <v>1021</v>
      </c>
    </row>
    <row r="38" spans="1:20" x14ac:dyDescent="0.25">
      <c r="A38" s="3" t="s">
        <v>747</v>
      </c>
      <c r="B38" t="s">
        <v>611</v>
      </c>
      <c r="C38" t="s">
        <v>383</v>
      </c>
      <c r="J38" t="s">
        <v>762</v>
      </c>
      <c r="K38" t="s">
        <v>439</v>
      </c>
      <c r="L38" t="s">
        <v>410</v>
      </c>
      <c r="M38" t="s">
        <v>443</v>
      </c>
      <c r="N38" t="s">
        <v>405</v>
      </c>
      <c r="Q38" t="s">
        <v>612</v>
      </c>
      <c r="R38" t="s">
        <v>776</v>
      </c>
      <c r="S38" t="s">
        <v>674</v>
      </c>
      <c r="T38" t="s">
        <v>1021</v>
      </c>
    </row>
    <row r="39" spans="1:20" x14ac:dyDescent="0.25">
      <c r="A39" s="3" t="s">
        <v>747</v>
      </c>
      <c r="B39" t="s">
        <v>611</v>
      </c>
      <c r="C39" t="s">
        <v>383</v>
      </c>
      <c r="D39" t="s">
        <v>724</v>
      </c>
      <c r="E39" t="s">
        <v>726</v>
      </c>
      <c r="J39" t="s">
        <v>762</v>
      </c>
      <c r="K39" t="s">
        <v>441</v>
      </c>
      <c r="L39" t="s">
        <v>412</v>
      </c>
      <c r="M39" t="s">
        <v>462</v>
      </c>
      <c r="N39" t="s">
        <v>398</v>
      </c>
      <c r="Q39" t="s">
        <v>729</v>
      </c>
      <c r="R39" t="s">
        <v>771</v>
      </c>
      <c r="S39" t="s">
        <v>674</v>
      </c>
      <c r="T39" t="s">
        <v>1021</v>
      </c>
    </row>
    <row r="40" spans="1:20" x14ac:dyDescent="0.25">
      <c r="A40" s="3" t="s">
        <v>747</v>
      </c>
      <c r="B40" t="s">
        <v>611</v>
      </c>
      <c r="C40" t="s">
        <v>383</v>
      </c>
      <c r="D40" t="s">
        <v>723</v>
      </c>
      <c r="E40" t="s">
        <v>725</v>
      </c>
      <c r="J40" t="s">
        <v>762</v>
      </c>
      <c r="K40" t="s">
        <v>439</v>
      </c>
      <c r="L40" t="s">
        <v>410</v>
      </c>
      <c r="M40" t="s">
        <v>438</v>
      </c>
      <c r="N40" t="s">
        <v>413</v>
      </c>
      <c r="Q40" t="s">
        <v>730</v>
      </c>
      <c r="R40" t="s">
        <v>771</v>
      </c>
      <c r="S40" t="s">
        <v>674</v>
      </c>
      <c r="T40" t="s">
        <v>1021</v>
      </c>
    </row>
    <row r="41" spans="1:20" x14ac:dyDescent="0.25">
      <c r="A41" s="3" t="s">
        <v>747</v>
      </c>
      <c r="D41" t="s">
        <v>613</v>
      </c>
      <c r="E41" t="s">
        <v>115</v>
      </c>
      <c r="J41" t="s">
        <v>762</v>
      </c>
      <c r="K41" t="s">
        <v>449</v>
      </c>
      <c r="L41" t="s">
        <v>402</v>
      </c>
      <c r="M41" t="s">
        <v>563</v>
      </c>
      <c r="N41" t="s">
        <v>564</v>
      </c>
      <c r="Q41" t="s">
        <v>614</v>
      </c>
      <c r="R41" t="s">
        <v>777</v>
      </c>
      <c r="S41" t="s">
        <v>646</v>
      </c>
      <c r="T41" t="s">
        <v>1021</v>
      </c>
    </row>
    <row r="42" spans="1:20" x14ac:dyDescent="0.25">
      <c r="A42" s="3" t="s">
        <v>747</v>
      </c>
      <c r="B42" t="s">
        <v>615</v>
      </c>
      <c r="C42" t="s">
        <v>160</v>
      </c>
      <c r="J42" t="s">
        <v>762</v>
      </c>
      <c r="K42" t="s">
        <v>563</v>
      </c>
      <c r="L42" t="s">
        <v>564</v>
      </c>
      <c r="M42" t="s">
        <v>437</v>
      </c>
      <c r="N42" t="s">
        <v>409</v>
      </c>
      <c r="Q42" t="s">
        <v>616</v>
      </c>
      <c r="R42" t="s">
        <v>790</v>
      </c>
      <c r="S42" t="s">
        <v>580</v>
      </c>
      <c r="T42" t="s">
        <v>1021</v>
      </c>
    </row>
    <row r="43" spans="1:20" x14ac:dyDescent="0.25">
      <c r="A43" s="3" t="s">
        <v>747</v>
      </c>
      <c r="D43" t="s">
        <v>617</v>
      </c>
      <c r="E43" t="s">
        <v>618</v>
      </c>
      <c r="J43" t="s">
        <v>762</v>
      </c>
      <c r="K43" t="s">
        <v>449</v>
      </c>
      <c r="L43" t="s">
        <v>402</v>
      </c>
      <c r="M43" t="s">
        <v>446</v>
      </c>
      <c r="N43" t="s">
        <v>399</v>
      </c>
      <c r="Q43" t="s">
        <v>619</v>
      </c>
      <c r="R43" t="s">
        <v>788</v>
      </c>
      <c r="S43" t="s">
        <v>666</v>
      </c>
      <c r="T43" t="s">
        <v>1021</v>
      </c>
    </row>
    <row r="44" spans="1:20" x14ac:dyDescent="0.25">
      <c r="A44" s="3" t="s">
        <v>747</v>
      </c>
      <c r="D44" t="s">
        <v>620</v>
      </c>
      <c r="E44" t="s">
        <v>621</v>
      </c>
      <c r="J44" t="s">
        <v>762</v>
      </c>
      <c r="K44" t="s">
        <v>446</v>
      </c>
      <c r="L44" t="s">
        <v>399</v>
      </c>
      <c r="M44" t="s">
        <v>443</v>
      </c>
      <c r="N44" t="s">
        <v>405</v>
      </c>
      <c r="Q44" t="s">
        <v>622</v>
      </c>
      <c r="R44" t="s">
        <v>727</v>
      </c>
      <c r="S44" t="s">
        <v>580</v>
      </c>
      <c r="T44" t="s">
        <v>1021</v>
      </c>
    </row>
    <row r="45" spans="1:20" x14ac:dyDescent="0.25">
      <c r="A45" s="3" t="s">
        <v>747</v>
      </c>
      <c r="B45" t="s">
        <v>623</v>
      </c>
      <c r="C45" t="s">
        <v>624</v>
      </c>
      <c r="J45" t="s">
        <v>762</v>
      </c>
      <c r="K45" t="s">
        <v>437</v>
      </c>
      <c r="L45" t="s">
        <v>409</v>
      </c>
      <c r="M45" t="s">
        <v>563</v>
      </c>
      <c r="N45" t="s">
        <v>564</v>
      </c>
      <c r="Q45" t="s">
        <v>625</v>
      </c>
      <c r="R45" t="s">
        <v>788</v>
      </c>
      <c r="S45" t="s">
        <v>580</v>
      </c>
      <c r="T45" t="s">
        <v>1021</v>
      </c>
    </row>
    <row r="46" spans="1:20" x14ac:dyDescent="0.25">
      <c r="A46" s="3" t="s">
        <v>747</v>
      </c>
      <c r="C46" t="s">
        <v>624</v>
      </c>
      <c r="D46" t="s">
        <v>626</v>
      </c>
      <c r="E46" t="s">
        <v>150</v>
      </c>
      <c r="J46" t="s">
        <v>762</v>
      </c>
      <c r="K46" t="s">
        <v>437</v>
      </c>
      <c r="L46" t="s">
        <v>409</v>
      </c>
      <c r="M46" t="s">
        <v>563</v>
      </c>
      <c r="N46" t="s">
        <v>564</v>
      </c>
      <c r="Q46" t="s">
        <v>470</v>
      </c>
      <c r="R46" t="s">
        <v>789</v>
      </c>
      <c r="S46" t="s">
        <v>580</v>
      </c>
      <c r="T46" t="s">
        <v>1021</v>
      </c>
    </row>
    <row r="47" spans="1:20" x14ac:dyDescent="0.25">
      <c r="A47" s="3" t="s">
        <v>747</v>
      </c>
      <c r="B47" t="s">
        <v>627</v>
      </c>
      <c r="C47" t="s">
        <v>628</v>
      </c>
      <c r="J47" t="s">
        <v>762</v>
      </c>
      <c r="K47" t="s">
        <v>437</v>
      </c>
      <c r="L47" t="s">
        <v>409</v>
      </c>
      <c r="M47" t="s">
        <v>563</v>
      </c>
      <c r="N47" t="s">
        <v>564</v>
      </c>
      <c r="R47" t="s">
        <v>787</v>
      </c>
      <c r="S47" t="s">
        <v>580</v>
      </c>
      <c r="T47" t="s">
        <v>1021</v>
      </c>
    </row>
    <row r="48" spans="1:20" x14ac:dyDescent="0.25">
      <c r="A48" s="3" t="s">
        <v>747</v>
      </c>
      <c r="B48" t="s">
        <v>629</v>
      </c>
      <c r="C48" t="s">
        <v>630</v>
      </c>
      <c r="J48" t="s">
        <v>762</v>
      </c>
      <c r="K48" t="s">
        <v>449</v>
      </c>
      <c r="L48" t="s">
        <v>402</v>
      </c>
      <c r="M48" t="s">
        <v>441</v>
      </c>
      <c r="N48" t="s">
        <v>412</v>
      </c>
      <c r="Q48" t="s">
        <v>774</v>
      </c>
      <c r="R48" t="s">
        <v>786</v>
      </c>
      <c r="S48" t="s">
        <v>666</v>
      </c>
      <c r="T48" t="s">
        <v>1021</v>
      </c>
    </row>
    <row r="49" spans="1:20" x14ac:dyDescent="0.25">
      <c r="A49" s="3" t="s">
        <v>747</v>
      </c>
      <c r="B49" t="s">
        <v>632</v>
      </c>
      <c r="C49" t="s">
        <v>633</v>
      </c>
      <c r="J49" t="s">
        <v>762</v>
      </c>
      <c r="K49" t="s">
        <v>449</v>
      </c>
      <c r="L49" t="s">
        <v>402</v>
      </c>
      <c r="M49" t="s">
        <v>437</v>
      </c>
      <c r="N49" t="s">
        <v>409</v>
      </c>
      <c r="R49" t="s">
        <v>727</v>
      </c>
      <c r="S49" t="s">
        <v>580</v>
      </c>
      <c r="T49" t="s">
        <v>1021</v>
      </c>
    </row>
    <row r="50" spans="1:20" x14ac:dyDescent="0.25">
      <c r="A50" s="3" t="s">
        <v>747</v>
      </c>
      <c r="B50" t="s">
        <v>634</v>
      </c>
      <c r="C50" t="s">
        <v>635</v>
      </c>
      <c r="J50" t="s">
        <v>434</v>
      </c>
      <c r="K50" t="s">
        <v>449</v>
      </c>
      <c r="L50" t="s">
        <v>402</v>
      </c>
      <c r="M50" t="s">
        <v>446</v>
      </c>
      <c r="N50" t="s">
        <v>399</v>
      </c>
      <c r="Q50" t="s">
        <v>636</v>
      </c>
      <c r="R50" t="s">
        <v>769</v>
      </c>
      <c r="S50" t="s">
        <v>637</v>
      </c>
      <c r="T50" t="s">
        <v>1021</v>
      </c>
    </row>
    <row r="51" spans="1:20" x14ac:dyDescent="0.25">
      <c r="A51" s="3" t="s">
        <v>747</v>
      </c>
      <c r="B51" t="s">
        <v>634</v>
      </c>
      <c r="C51" t="s">
        <v>635</v>
      </c>
      <c r="D51" t="s">
        <v>638</v>
      </c>
      <c r="E51" t="s">
        <v>639</v>
      </c>
      <c r="J51" t="s">
        <v>434</v>
      </c>
      <c r="K51" t="s">
        <v>449</v>
      </c>
      <c r="L51" t="s">
        <v>402</v>
      </c>
      <c r="M51" t="s">
        <v>563</v>
      </c>
      <c r="N51" t="s">
        <v>564</v>
      </c>
      <c r="R51" t="s">
        <v>771</v>
      </c>
      <c r="S51" t="s">
        <v>675</v>
      </c>
      <c r="T51" t="s">
        <v>1021</v>
      </c>
    </row>
    <row r="52" spans="1:20" x14ac:dyDescent="0.25">
      <c r="A52" s="3" t="s">
        <v>747</v>
      </c>
      <c r="B52" t="s">
        <v>640</v>
      </c>
      <c r="C52" t="s">
        <v>641</v>
      </c>
      <c r="J52" t="s">
        <v>436</v>
      </c>
      <c r="K52" t="s">
        <v>443</v>
      </c>
      <c r="L52" t="s">
        <v>405</v>
      </c>
      <c r="M52" t="s">
        <v>446</v>
      </c>
      <c r="N52" t="s">
        <v>399</v>
      </c>
      <c r="Q52" t="s">
        <v>642</v>
      </c>
      <c r="R52" t="s">
        <v>768</v>
      </c>
      <c r="S52" t="s">
        <v>660</v>
      </c>
      <c r="T52" t="s">
        <v>1021</v>
      </c>
    </row>
    <row r="53" spans="1:20" x14ac:dyDescent="0.25">
      <c r="A53" s="3" t="s">
        <v>747</v>
      </c>
      <c r="B53" t="s">
        <v>758</v>
      </c>
      <c r="C53" t="s">
        <v>759</v>
      </c>
      <c r="J53" t="s">
        <v>436</v>
      </c>
      <c r="K53" t="s">
        <v>449</v>
      </c>
      <c r="L53" t="s">
        <v>402</v>
      </c>
      <c r="M53" t="s">
        <v>446</v>
      </c>
      <c r="N53" t="s">
        <v>399</v>
      </c>
      <c r="Q53" t="s">
        <v>760</v>
      </c>
      <c r="R53" t="s">
        <v>770</v>
      </c>
      <c r="S53" t="s">
        <v>761</v>
      </c>
      <c r="T53" t="s">
        <v>1021</v>
      </c>
    </row>
    <row r="54" spans="1:20" x14ac:dyDescent="0.25">
      <c r="A54" s="3" t="s">
        <v>747</v>
      </c>
      <c r="B54" t="s">
        <v>681</v>
      </c>
      <c r="C54" t="s">
        <v>677</v>
      </c>
      <c r="J54" t="s">
        <v>643</v>
      </c>
      <c r="K54" t="s">
        <v>443</v>
      </c>
      <c r="L54" t="s">
        <v>405</v>
      </c>
      <c r="M54" t="s">
        <v>446</v>
      </c>
      <c r="N54" t="s">
        <v>399</v>
      </c>
      <c r="Q54" t="s">
        <v>684</v>
      </c>
      <c r="R54" t="s">
        <v>771</v>
      </c>
      <c r="S54" t="s">
        <v>644</v>
      </c>
      <c r="T54" t="s">
        <v>1021</v>
      </c>
    </row>
    <row r="991" spans="5:18" x14ac:dyDescent="0.25">
      <c r="E991" t="s">
        <v>2</v>
      </c>
      <c r="F991" t="s">
        <v>3</v>
      </c>
      <c r="G991" t="s">
        <v>1</v>
      </c>
      <c r="H991" t="s">
        <v>4</v>
      </c>
      <c r="I991" t="s">
        <v>18</v>
      </c>
      <c r="J991" t="s">
        <v>19</v>
      </c>
      <c r="K991" t="s">
        <v>0</v>
      </c>
      <c r="L991" t="s">
        <v>5</v>
      </c>
      <c r="M991" t="s">
        <v>382</v>
      </c>
      <c r="N991" t="s">
        <v>384</v>
      </c>
      <c r="O991" t="s">
        <v>385</v>
      </c>
      <c r="P991" t="s">
        <v>386</v>
      </c>
      <c r="R991" t="s">
        <v>433</v>
      </c>
    </row>
    <row r="992" spans="5:18" x14ac:dyDescent="0.25">
      <c r="E992" t="s">
        <v>210</v>
      </c>
      <c r="F992" t="s">
        <v>48</v>
      </c>
      <c r="G992" t="s">
        <v>216</v>
      </c>
      <c r="H992" t="s">
        <v>6</v>
      </c>
      <c r="I992" t="s">
        <v>223</v>
      </c>
      <c r="J992" t="s">
        <v>54</v>
      </c>
      <c r="K992" t="s">
        <v>258</v>
      </c>
      <c r="L992" t="s">
        <v>96</v>
      </c>
      <c r="M992" t="s">
        <v>437</v>
      </c>
      <c r="N992" t="s">
        <v>409</v>
      </c>
      <c r="O992" t="s">
        <v>437</v>
      </c>
      <c r="P992" t="s">
        <v>409</v>
      </c>
      <c r="R992" t="s">
        <v>434</v>
      </c>
    </row>
    <row r="993" spans="5:18" x14ac:dyDescent="0.25">
      <c r="E993" t="s">
        <v>211</v>
      </c>
      <c r="F993" t="s">
        <v>49</v>
      </c>
      <c r="G993" t="s">
        <v>217</v>
      </c>
      <c r="H993" t="s">
        <v>7</v>
      </c>
      <c r="I993" t="s">
        <v>224</v>
      </c>
      <c r="J993" t="s">
        <v>62</v>
      </c>
      <c r="K993" t="s">
        <v>259</v>
      </c>
      <c r="L993" t="s">
        <v>97</v>
      </c>
      <c r="M993" t="s">
        <v>438</v>
      </c>
      <c r="N993" t="s">
        <v>413</v>
      </c>
      <c r="O993" t="s">
        <v>438</v>
      </c>
      <c r="P993" t="s">
        <v>413</v>
      </c>
      <c r="R993" t="s">
        <v>436</v>
      </c>
    </row>
    <row r="994" spans="5:18" x14ac:dyDescent="0.25">
      <c r="E994" t="s">
        <v>212</v>
      </c>
      <c r="F994" t="s">
        <v>50</v>
      </c>
      <c r="G994" t="s">
        <v>218</v>
      </c>
      <c r="H994" t="s">
        <v>16</v>
      </c>
      <c r="I994" t="s">
        <v>225</v>
      </c>
      <c r="J994" t="s">
        <v>55</v>
      </c>
      <c r="K994" t="s">
        <v>260</v>
      </c>
      <c r="L994" t="s">
        <v>98</v>
      </c>
      <c r="M994" t="s">
        <v>439</v>
      </c>
      <c r="N994" t="s">
        <v>410</v>
      </c>
      <c r="O994" t="s">
        <v>439</v>
      </c>
      <c r="P994" t="s">
        <v>410</v>
      </c>
      <c r="R994" t="s">
        <v>435</v>
      </c>
    </row>
    <row r="995" spans="5:18" x14ac:dyDescent="0.25">
      <c r="E995" t="s">
        <v>213</v>
      </c>
      <c r="F995" t="s">
        <v>51</v>
      </c>
      <c r="G995" t="s">
        <v>219</v>
      </c>
      <c r="H995" t="s">
        <v>17</v>
      </c>
      <c r="I995" t="s">
        <v>226</v>
      </c>
      <c r="J995" t="s">
        <v>63</v>
      </c>
      <c r="K995" t="s">
        <v>261</v>
      </c>
      <c r="L995" t="s">
        <v>99</v>
      </c>
      <c r="M995" t="s">
        <v>440</v>
      </c>
      <c r="N995" t="s">
        <v>411</v>
      </c>
      <c r="O995" t="s">
        <v>440</v>
      </c>
      <c r="P995" t="s">
        <v>411</v>
      </c>
      <c r="R995" t="s">
        <v>583</v>
      </c>
    </row>
    <row r="996" spans="5:18" x14ac:dyDescent="0.25">
      <c r="E996" t="s">
        <v>214</v>
      </c>
      <c r="F996" t="s">
        <v>52</v>
      </c>
      <c r="G996" t="s">
        <v>220</v>
      </c>
      <c r="H996" t="s">
        <v>10</v>
      </c>
      <c r="I996" t="s">
        <v>227</v>
      </c>
      <c r="J996" t="s">
        <v>64</v>
      </c>
      <c r="K996" t="s">
        <v>262</v>
      </c>
      <c r="L996" t="s">
        <v>32</v>
      </c>
      <c r="M996" t="s">
        <v>441</v>
      </c>
      <c r="N996" t="s">
        <v>412</v>
      </c>
      <c r="O996" t="s">
        <v>441</v>
      </c>
      <c r="P996" t="s">
        <v>412</v>
      </c>
      <c r="R996" t="s">
        <v>643</v>
      </c>
    </row>
    <row r="997" spans="5:18" x14ac:dyDescent="0.25">
      <c r="E997" t="s">
        <v>215</v>
      </c>
      <c r="F997" t="s">
        <v>53</v>
      </c>
      <c r="G997" t="s">
        <v>221</v>
      </c>
      <c r="H997" t="s">
        <v>11</v>
      </c>
      <c r="I997" t="s">
        <v>228</v>
      </c>
      <c r="J997" t="s">
        <v>65</v>
      </c>
      <c r="K997" t="s">
        <v>263</v>
      </c>
      <c r="L997" t="s">
        <v>100</v>
      </c>
      <c r="M997" t="s">
        <v>442</v>
      </c>
      <c r="N997" t="s">
        <v>408</v>
      </c>
      <c r="O997" t="s">
        <v>442</v>
      </c>
      <c r="P997" t="s">
        <v>408</v>
      </c>
      <c r="R997" t="s">
        <v>702</v>
      </c>
    </row>
    <row r="998" spans="5:18" x14ac:dyDescent="0.25">
      <c r="G998" t="s">
        <v>222</v>
      </c>
      <c r="H998" t="s">
        <v>8</v>
      </c>
      <c r="I998" t="s">
        <v>229</v>
      </c>
      <c r="J998" t="s">
        <v>56</v>
      </c>
      <c r="K998" t="s">
        <v>264</v>
      </c>
      <c r="L998" t="s">
        <v>101</v>
      </c>
      <c r="M998" t="s">
        <v>443</v>
      </c>
      <c r="N998" t="s">
        <v>405</v>
      </c>
      <c r="O998" t="s">
        <v>443</v>
      </c>
      <c r="P998" t="s">
        <v>405</v>
      </c>
      <c r="R998" t="s">
        <v>753</v>
      </c>
    </row>
    <row r="999" spans="5:18" x14ac:dyDescent="0.25">
      <c r="G999" t="s">
        <v>20</v>
      </c>
      <c r="H999" t="s">
        <v>9</v>
      </c>
      <c r="I999" t="s">
        <v>230</v>
      </c>
      <c r="J999" t="s">
        <v>67</v>
      </c>
      <c r="K999" t="s">
        <v>265</v>
      </c>
      <c r="L999" t="s">
        <v>27</v>
      </c>
      <c r="M999" t="s">
        <v>444</v>
      </c>
      <c r="N999" t="s">
        <v>406</v>
      </c>
      <c r="O999" t="s">
        <v>444</v>
      </c>
      <c r="P999" t="s">
        <v>406</v>
      </c>
      <c r="R999" t="s">
        <v>762</v>
      </c>
    </row>
    <row r="1000" spans="5:18" x14ac:dyDescent="0.25">
      <c r="G1000" t="s">
        <v>21</v>
      </c>
      <c r="H1000" t="s">
        <v>12</v>
      </c>
      <c r="I1000" t="s">
        <v>231</v>
      </c>
      <c r="J1000" t="s">
        <v>66</v>
      </c>
      <c r="K1000" t="s">
        <v>266</v>
      </c>
      <c r="L1000" t="s">
        <v>102</v>
      </c>
      <c r="M1000" t="s">
        <v>445</v>
      </c>
      <c r="N1000" t="s">
        <v>407</v>
      </c>
      <c r="O1000" t="s">
        <v>445</v>
      </c>
      <c r="P1000" t="s">
        <v>407</v>
      </c>
      <c r="R1000" t="s">
        <v>763</v>
      </c>
    </row>
    <row r="1001" spans="5:18" x14ac:dyDescent="0.25">
      <c r="G1001" t="s">
        <v>22</v>
      </c>
      <c r="H1001" t="s">
        <v>13</v>
      </c>
      <c r="I1001" t="s">
        <v>232</v>
      </c>
      <c r="J1001" t="s">
        <v>68</v>
      </c>
      <c r="K1001" t="s">
        <v>267</v>
      </c>
      <c r="L1001" t="s">
        <v>103</v>
      </c>
      <c r="M1001" t="s">
        <v>446</v>
      </c>
      <c r="N1001" t="s">
        <v>399</v>
      </c>
      <c r="O1001" t="s">
        <v>446</v>
      </c>
      <c r="P1001" t="s">
        <v>399</v>
      </c>
    </row>
    <row r="1002" spans="5:18" x14ac:dyDescent="0.25">
      <c r="G1002" t="s">
        <v>23</v>
      </c>
      <c r="H1002" t="s">
        <v>14</v>
      </c>
      <c r="I1002" t="s">
        <v>233</v>
      </c>
      <c r="J1002" t="s">
        <v>70</v>
      </c>
      <c r="K1002" t="s">
        <v>268</v>
      </c>
      <c r="L1002" t="s">
        <v>104</v>
      </c>
      <c r="M1002" t="s">
        <v>447</v>
      </c>
      <c r="N1002" t="s">
        <v>404</v>
      </c>
      <c r="O1002" t="s">
        <v>447</v>
      </c>
      <c r="P1002" t="s">
        <v>404</v>
      </c>
    </row>
    <row r="1003" spans="5:18" x14ac:dyDescent="0.25">
      <c r="G1003" t="s">
        <v>24</v>
      </c>
      <c r="H1003" t="s">
        <v>15</v>
      </c>
      <c r="I1003" t="s">
        <v>234</v>
      </c>
      <c r="J1003" t="s">
        <v>71</v>
      </c>
      <c r="K1003" t="s">
        <v>269</v>
      </c>
      <c r="L1003" t="s">
        <v>105</v>
      </c>
      <c r="M1003" t="s">
        <v>448</v>
      </c>
      <c r="N1003" t="s">
        <v>403</v>
      </c>
      <c r="O1003" t="s">
        <v>448</v>
      </c>
      <c r="P1003" t="s">
        <v>403</v>
      </c>
    </row>
    <row r="1004" spans="5:18" x14ac:dyDescent="0.25">
      <c r="G1004" t="s">
        <v>29</v>
      </c>
      <c r="H1004" t="s">
        <v>25</v>
      </c>
      <c r="I1004" t="s">
        <v>235</v>
      </c>
      <c r="J1004" t="s">
        <v>73</v>
      </c>
      <c r="K1004" t="s">
        <v>270</v>
      </c>
      <c r="L1004" t="s">
        <v>106</v>
      </c>
      <c r="M1004" t="s">
        <v>449</v>
      </c>
      <c r="N1004" t="s">
        <v>402</v>
      </c>
      <c r="O1004" t="s">
        <v>449</v>
      </c>
      <c r="P1004" t="s">
        <v>402</v>
      </c>
    </row>
    <row r="1005" spans="5:18" x14ac:dyDescent="0.25">
      <c r="G1005" t="s">
        <v>39</v>
      </c>
      <c r="H1005" t="s">
        <v>28</v>
      </c>
      <c r="I1005" t="s">
        <v>236</v>
      </c>
      <c r="J1005" t="s">
        <v>74</v>
      </c>
      <c r="K1005" t="s">
        <v>271</v>
      </c>
      <c r="L1005" t="s">
        <v>107</v>
      </c>
      <c r="M1005" t="s">
        <v>450</v>
      </c>
      <c r="N1005" t="s">
        <v>400</v>
      </c>
      <c r="O1005" t="s">
        <v>450</v>
      </c>
      <c r="P1005" t="s">
        <v>400</v>
      </c>
    </row>
    <row r="1006" spans="5:18" x14ac:dyDescent="0.25">
      <c r="G1006" t="s">
        <v>40</v>
      </c>
      <c r="H1006" t="s">
        <v>30</v>
      </c>
      <c r="I1006" t="s">
        <v>237</v>
      </c>
      <c r="J1006" t="s">
        <v>59</v>
      </c>
      <c r="K1006" t="s">
        <v>272</v>
      </c>
      <c r="L1006" t="s">
        <v>108</v>
      </c>
      <c r="M1006" t="s">
        <v>451</v>
      </c>
      <c r="N1006" t="s">
        <v>401</v>
      </c>
      <c r="O1006" t="s">
        <v>451</v>
      </c>
      <c r="P1006" t="s">
        <v>401</v>
      </c>
    </row>
    <row r="1007" spans="5:18" x14ac:dyDescent="0.25">
      <c r="G1007" t="s">
        <v>41</v>
      </c>
      <c r="H1007" t="s">
        <v>33</v>
      </c>
      <c r="I1007" t="s">
        <v>238</v>
      </c>
      <c r="J1007" t="s">
        <v>75</v>
      </c>
      <c r="K1007" t="s">
        <v>273</v>
      </c>
      <c r="L1007" t="s">
        <v>109</v>
      </c>
      <c r="M1007" t="s">
        <v>452</v>
      </c>
      <c r="N1007" t="s">
        <v>388</v>
      </c>
      <c r="O1007" t="s">
        <v>452</v>
      </c>
      <c r="P1007" t="s">
        <v>388</v>
      </c>
    </row>
    <row r="1008" spans="5:18" x14ac:dyDescent="0.25">
      <c r="G1008" t="s">
        <v>42</v>
      </c>
      <c r="H1008" t="s">
        <v>34</v>
      </c>
      <c r="I1008" t="s">
        <v>239</v>
      </c>
      <c r="J1008" t="s">
        <v>76</v>
      </c>
      <c r="K1008" t="s">
        <v>274</v>
      </c>
      <c r="L1008" t="s">
        <v>110</v>
      </c>
      <c r="M1008" t="s">
        <v>453</v>
      </c>
      <c r="N1008" t="s">
        <v>395</v>
      </c>
      <c r="O1008" t="s">
        <v>453</v>
      </c>
      <c r="P1008" t="s">
        <v>395</v>
      </c>
    </row>
    <row r="1009" spans="7:16" x14ac:dyDescent="0.25">
      <c r="G1009" t="s">
        <v>43</v>
      </c>
      <c r="H1009" t="s">
        <v>35</v>
      </c>
      <c r="I1009" t="s">
        <v>240</v>
      </c>
      <c r="J1009" t="s">
        <v>79</v>
      </c>
      <c r="K1009" t="s">
        <v>275</v>
      </c>
      <c r="L1009" t="s">
        <v>111</v>
      </c>
      <c r="M1009" t="s">
        <v>454</v>
      </c>
      <c r="N1009" t="s">
        <v>393</v>
      </c>
      <c r="O1009" t="s">
        <v>454</v>
      </c>
      <c r="P1009" t="s">
        <v>393</v>
      </c>
    </row>
    <row r="1010" spans="7:16" x14ac:dyDescent="0.25">
      <c r="G1010" t="s">
        <v>44</v>
      </c>
      <c r="H1010" t="s">
        <v>36</v>
      </c>
      <c r="I1010" t="s">
        <v>241</v>
      </c>
      <c r="J1010" t="s">
        <v>80</v>
      </c>
      <c r="K1010" t="s">
        <v>276</v>
      </c>
      <c r="L1010" t="s">
        <v>112</v>
      </c>
      <c r="M1010" t="s">
        <v>455</v>
      </c>
      <c r="N1010" t="s">
        <v>390</v>
      </c>
      <c r="O1010" t="s">
        <v>455</v>
      </c>
      <c r="P1010" t="s">
        <v>390</v>
      </c>
    </row>
    <row r="1011" spans="7:16" x14ac:dyDescent="0.25">
      <c r="G1011" t="s">
        <v>45</v>
      </c>
      <c r="H1011" t="s">
        <v>37</v>
      </c>
      <c r="I1011" t="s">
        <v>242</v>
      </c>
      <c r="J1011" t="s">
        <v>81</v>
      </c>
      <c r="K1011" t="s">
        <v>277</v>
      </c>
      <c r="L1011" t="s">
        <v>113</v>
      </c>
      <c r="M1011" t="s">
        <v>456</v>
      </c>
      <c r="N1011" t="s">
        <v>389</v>
      </c>
      <c r="O1011" t="s">
        <v>456</v>
      </c>
      <c r="P1011" t="s">
        <v>389</v>
      </c>
    </row>
    <row r="1012" spans="7:16" x14ac:dyDescent="0.25">
      <c r="G1012" t="s">
        <v>46</v>
      </c>
      <c r="H1012" t="s">
        <v>38</v>
      </c>
      <c r="I1012" t="s">
        <v>243</v>
      </c>
      <c r="J1012" t="s">
        <v>83</v>
      </c>
      <c r="K1012" t="s">
        <v>278</v>
      </c>
      <c r="L1012" t="s">
        <v>114</v>
      </c>
      <c r="M1012" t="s">
        <v>457</v>
      </c>
      <c r="N1012" t="s">
        <v>391</v>
      </c>
      <c r="O1012" t="s">
        <v>457</v>
      </c>
      <c r="P1012" t="s">
        <v>391</v>
      </c>
    </row>
    <row r="1013" spans="7:16" x14ac:dyDescent="0.25">
      <c r="G1013" t="s">
        <v>47</v>
      </c>
      <c r="H1013" t="s">
        <v>31</v>
      </c>
      <c r="I1013" t="s">
        <v>244</v>
      </c>
      <c r="J1013" t="s">
        <v>84</v>
      </c>
      <c r="K1013" t="s">
        <v>279</v>
      </c>
      <c r="L1013" t="s">
        <v>57</v>
      </c>
      <c r="M1013" t="s">
        <v>458</v>
      </c>
      <c r="N1013" t="s">
        <v>392</v>
      </c>
      <c r="O1013" t="s">
        <v>458</v>
      </c>
      <c r="P1013" t="s">
        <v>392</v>
      </c>
    </row>
    <row r="1014" spans="7:16" x14ac:dyDescent="0.25">
      <c r="I1014" t="s">
        <v>245</v>
      </c>
      <c r="J1014" t="s">
        <v>82</v>
      </c>
      <c r="K1014" t="s">
        <v>280</v>
      </c>
      <c r="L1014" t="s">
        <v>115</v>
      </c>
      <c r="M1014" t="s">
        <v>459</v>
      </c>
      <c r="N1014" t="s">
        <v>394</v>
      </c>
      <c r="O1014" t="s">
        <v>459</v>
      </c>
      <c r="P1014" t="s">
        <v>394</v>
      </c>
    </row>
    <row r="1015" spans="7:16" x14ac:dyDescent="0.25">
      <c r="I1015" t="s">
        <v>246</v>
      </c>
      <c r="J1015" t="s">
        <v>85</v>
      </c>
      <c r="K1015" t="s">
        <v>281</v>
      </c>
      <c r="L1015" t="s">
        <v>116</v>
      </c>
      <c r="M1015" t="s">
        <v>460</v>
      </c>
      <c r="N1015" t="s">
        <v>396</v>
      </c>
      <c r="O1015" t="s">
        <v>460</v>
      </c>
      <c r="P1015" t="s">
        <v>396</v>
      </c>
    </row>
    <row r="1016" spans="7:16" x14ac:dyDescent="0.25">
      <c r="I1016" t="s">
        <v>247</v>
      </c>
      <c r="J1016" t="s">
        <v>86</v>
      </c>
      <c r="K1016" t="s">
        <v>282</v>
      </c>
      <c r="L1016" t="s">
        <v>117</v>
      </c>
      <c r="M1016" t="s">
        <v>461</v>
      </c>
      <c r="N1016" t="s">
        <v>397</v>
      </c>
      <c r="O1016" t="s">
        <v>461</v>
      </c>
      <c r="P1016" t="s">
        <v>397</v>
      </c>
    </row>
    <row r="1017" spans="7:16" x14ac:dyDescent="0.25">
      <c r="I1017" t="s">
        <v>248</v>
      </c>
      <c r="J1017" t="s">
        <v>87</v>
      </c>
      <c r="K1017" t="s">
        <v>283</v>
      </c>
      <c r="L1017" t="s">
        <v>118</v>
      </c>
      <c r="M1017" t="s">
        <v>462</v>
      </c>
      <c r="N1017" t="s">
        <v>398</v>
      </c>
      <c r="O1017" t="s">
        <v>462</v>
      </c>
      <c r="P1017" t="s">
        <v>398</v>
      </c>
    </row>
    <row r="1018" spans="7:16" x14ac:dyDescent="0.25">
      <c r="I1018" t="s">
        <v>249</v>
      </c>
      <c r="J1018" t="s">
        <v>61</v>
      </c>
      <c r="K1018" t="s">
        <v>284</v>
      </c>
      <c r="L1018" t="s">
        <v>119</v>
      </c>
      <c r="M1018" t="s">
        <v>563</v>
      </c>
      <c r="N1018" t="s">
        <v>564</v>
      </c>
      <c r="O1018" t="s">
        <v>563</v>
      </c>
      <c r="P1018" t="s">
        <v>564</v>
      </c>
    </row>
    <row r="1019" spans="7:16" x14ac:dyDescent="0.25">
      <c r="I1019" t="s">
        <v>250</v>
      </c>
      <c r="J1019" t="s">
        <v>89</v>
      </c>
      <c r="K1019" t="s">
        <v>285</v>
      </c>
      <c r="L1019" t="s">
        <v>120</v>
      </c>
    </row>
    <row r="1020" spans="7:16" x14ac:dyDescent="0.25">
      <c r="I1020" t="s">
        <v>251</v>
      </c>
      <c r="J1020" t="s">
        <v>90</v>
      </c>
      <c r="K1020" t="s">
        <v>286</v>
      </c>
      <c r="L1020" t="s">
        <v>121</v>
      </c>
    </row>
    <row r="1021" spans="7:16" x14ac:dyDescent="0.25">
      <c r="I1021" t="s">
        <v>252</v>
      </c>
      <c r="J1021" t="s">
        <v>88</v>
      </c>
      <c r="K1021" t="s">
        <v>287</v>
      </c>
      <c r="L1021" t="s">
        <v>122</v>
      </c>
    </row>
    <row r="1022" spans="7:16" x14ac:dyDescent="0.25">
      <c r="I1022" t="s">
        <v>253</v>
      </c>
      <c r="J1022" t="s">
        <v>91</v>
      </c>
      <c r="K1022" t="s">
        <v>288</v>
      </c>
      <c r="L1022" t="s">
        <v>123</v>
      </c>
    </row>
    <row r="1023" spans="7:16" x14ac:dyDescent="0.25">
      <c r="I1023" t="s">
        <v>254</v>
      </c>
      <c r="J1023" t="s">
        <v>208</v>
      </c>
      <c r="K1023" t="s">
        <v>289</v>
      </c>
      <c r="L1023" t="s">
        <v>124</v>
      </c>
    </row>
    <row r="1024" spans="7:16" x14ac:dyDescent="0.25">
      <c r="I1024" t="s">
        <v>255</v>
      </c>
      <c r="J1024" t="s">
        <v>209</v>
      </c>
      <c r="K1024" t="s">
        <v>290</v>
      </c>
      <c r="L1024" t="s">
        <v>125</v>
      </c>
    </row>
    <row r="1025" spans="9:12" x14ac:dyDescent="0.25">
      <c r="I1025" t="s">
        <v>256</v>
      </c>
      <c r="J1025" t="s">
        <v>94</v>
      </c>
      <c r="K1025" t="s">
        <v>291</v>
      </c>
      <c r="L1025" t="s">
        <v>126</v>
      </c>
    </row>
    <row r="1026" spans="9:12" x14ac:dyDescent="0.25">
      <c r="I1026" t="s">
        <v>257</v>
      </c>
      <c r="J1026" t="s">
        <v>92</v>
      </c>
      <c r="K1026" t="s">
        <v>292</v>
      </c>
      <c r="L1026" t="s">
        <v>127</v>
      </c>
    </row>
    <row r="1027" spans="9:12" x14ac:dyDescent="0.25">
      <c r="K1027" t="s">
        <v>293</v>
      </c>
      <c r="L1027" t="s">
        <v>58</v>
      </c>
    </row>
    <row r="1028" spans="9:12" x14ac:dyDescent="0.25">
      <c r="K1028" t="s">
        <v>294</v>
      </c>
      <c r="L1028" t="s">
        <v>128</v>
      </c>
    </row>
    <row r="1029" spans="9:12" x14ac:dyDescent="0.25">
      <c r="K1029" t="s">
        <v>295</v>
      </c>
      <c r="L1029" t="s">
        <v>129</v>
      </c>
    </row>
    <row r="1030" spans="9:12" x14ac:dyDescent="0.25">
      <c r="K1030" t="s">
        <v>296</v>
      </c>
      <c r="L1030" t="s">
        <v>130</v>
      </c>
    </row>
    <row r="1031" spans="9:12" x14ac:dyDescent="0.25">
      <c r="K1031" t="s">
        <v>297</v>
      </c>
      <c r="L1031" t="s">
        <v>131</v>
      </c>
    </row>
    <row r="1032" spans="9:12" x14ac:dyDescent="0.25">
      <c r="K1032" t="s">
        <v>298</v>
      </c>
      <c r="L1032" t="s">
        <v>132</v>
      </c>
    </row>
    <row r="1033" spans="9:12" x14ac:dyDescent="0.25">
      <c r="K1033" t="s">
        <v>299</v>
      </c>
      <c r="L1033" t="s">
        <v>133</v>
      </c>
    </row>
    <row r="1034" spans="9:12" x14ac:dyDescent="0.25">
      <c r="K1034" t="s">
        <v>300</v>
      </c>
      <c r="L1034" t="s">
        <v>134</v>
      </c>
    </row>
    <row r="1035" spans="9:12" x14ac:dyDescent="0.25">
      <c r="K1035" t="s">
        <v>301</v>
      </c>
      <c r="L1035" t="s">
        <v>135</v>
      </c>
    </row>
    <row r="1036" spans="9:12" x14ac:dyDescent="0.25">
      <c r="K1036" t="s">
        <v>302</v>
      </c>
      <c r="L1036" t="s">
        <v>69</v>
      </c>
    </row>
    <row r="1037" spans="9:12" x14ac:dyDescent="0.25">
      <c r="K1037" t="s">
        <v>303</v>
      </c>
      <c r="L1037" t="s">
        <v>136</v>
      </c>
    </row>
    <row r="1038" spans="9:12" x14ac:dyDescent="0.25">
      <c r="K1038" t="s">
        <v>304</v>
      </c>
      <c r="L1038" t="s">
        <v>137</v>
      </c>
    </row>
    <row r="1039" spans="9:12" x14ac:dyDescent="0.25">
      <c r="K1039" t="s">
        <v>305</v>
      </c>
      <c r="L1039" t="s">
        <v>138</v>
      </c>
    </row>
    <row r="1040" spans="9:12" x14ac:dyDescent="0.25">
      <c r="K1040" t="s">
        <v>306</v>
      </c>
      <c r="L1040" t="s">
        <v>139</v>
      </c>
    </row>
    <row r="1041" spans="11:12" x14ac:dyDescent="0.25">
      <c r="K1041" t="s">
        <v>307</v>
      </c>
      <c r="L1041" t="s">
        <v>140</v>
      </c>
    </row>
    <row r="1042" spans="11:12" x14ac:dyDescent="0.25">
      <c r="K1042" t="s">
        <v>308</v>
      </c>
      <c r="L1042" t="s">
        <v>141</v>
      </c>
    </row>
    <row r="1043" spans="11:12" x14ac:dyDescent="0.25">
      <c r="K1043" t="s">
        <v>309</v>
      </c>
      <c r="L1043" t="s">
        <v>142</v>
      </c>
    </row>
    <row r="1044" spans="11:12" x14ac:dyDescent="0.25">
      <c r="K1044" t="s">
        <v>310</v>
      </c>
      <c r="L1044" t="s">
        <v>78</v>
      </c>
    </row>
    <row r="1045" spans="11:12" x14ac:dyDescent="0.25">
      <c r="K1045" t="s">
        <v>311</v>
      </c>
      <c r="L1045" t="s">
        <v>77</v>
      </c>
    </row>
    <row r="1046" spans="11:12" x14ac:dyDescent="0.25">
      <c r="K1046" t="s">
        <v>312</v>
      </c>
      <c r="L1046" t="s">
        <v>143</v>
      </c>
    </row>
    <row r="1047" spans="11:12" x14ac:dyDescent="0.25">
      <c r="K1047" t="s">
        <v>313</v>
      </c>
      <c r="L1047" t="s">
        <v>144</v>
      </c>
    </row>
    <row r="1048" spans="11:12" x14ac:dyDescent="0.25">
      <c r="K1048" t="s">
        <v>314</v>
      </c>
      <c r="L1048" t="s">
        <v>145</v>
      </c>
    </row>
    <row r="1049" spans="11:12" x14ac:dyDescent="0.25">
      <c r="K1049" t="s">
        <v>315</v>
      </c>
      <c r="L1049" t="s">
        <v>146</v>
      </c>
    </row>
    <row r="1050" spans="11:12" x14ac:dyDescent="0.25">
      <c r="K1050" t="s">
        <v>316</v>
      </c>
      <c r="L1050" t="s">
        <v>147</v>
      </c>
    </row>
    <row r="1051" spans="11:12" x14ac:dyDescent="0.25">
      <c r="K1051" t="s">
        <v>317</v>
      </c>
      <c r="L1051" t="s">
        <v>148</v>
      </c>
    </row>
    <row r="1052" spans="11:12" x14ac:dyDescent="0.25">
      <c r="K1052" t="s">
        <v>318</v>
      </c>
      <c r="L1052" t="s">
        <v>93</v>
      </c>
    </row>
    <row r="1053" spans="11:12" x14ac:dyDescent="0.25">
      <c r="K1053" t="s">
        <v>319</v>
      </c>
      <c r="L1053" t="s">
        <v>149</v>
      </c>
    </row>
    <row r="1054" spans="11:12" x14ac:dyDescent="0.25">
      <c r="K1054" t="s">
        <v>320</v>
      </c>
      <c r="L1054" t="s">
        <v>72</v>
      </c>
    </row>
    <row r="1055" spans="11:12" x14ac:dyDescent="0.25">
      <c r="K1055" t="s">
        <v>321</v>
      </c>
      <c r="L1055" t="s">
        <v>150</v>
      </c>
    </row>
    <row r="1056" spans="11:12" x14ac:dyDescent="0.25">
      <c r="K1056" t="s">
        <v>322</v>
      </c>
      <c r="L1056" t="s">
        <v>151</v>
      </c>
    </row>
    <row r="1057" spans="11:12" x14ac:dyDescent="0.25">
      <c r="K1057" t="s">
        <v>323</v>
      </c>
      <c r="L1057" t="s">
        <v>152</v>
      </c>
    </row>
    <row r="1058" spans="11:12" x14ac:dyDescent="0.25">
      <c r="K1058" t="s">
        <v>324</v>
      </c>
      <c r="L1058" t="s">
        <v>153</v>
      </c>
    </row>
    <row r="1059" spans="11:12" x14ac:dyDescent="0.25">
      <c r="K1059" t="s">
        <v>325</v>
      </c>
      <c r="L1059" t="s">
        <v>154</v>
      </c>
    </row>
    <row r="1060" spans="11:12" x14ac:dyDescent="0.25">
      <c r="K1060" t="s">
        <v>326</v>
      </c>
      <c r="L1060" t="s">
        <v>155</v>
      </c>
    </row>
    <row r="1061" spans="11:12" x14ac:dyDescent="0.25">
      <c r="K1061" t="s">
        <v>327</v>
      </c>
      <c r="L1061" t="s">
        <v>156</v>
      </c>
    </row>
    <row r="1062" spans="11:12" x14ac:dyDescent="0.25">
      <c r="K1062" t="s">
        <v>328</v>
      </c>
      <c r="L1062" t="s">
        <v>157</v>
      </c>
    </row>
    <row r="1063" spans="11:12" x14ac:dyDescent="0.25">
      <c r="K1063" t="s">
        <v>329</v>
      </c>
      <c r="L1063" t="s">
        <v>158</v>
      </c>
    </row>
    <row r="1064" spans="11:12" x14ac:dyDescent="0.25">
      <c r="K1064" t="s">
        <v>330</v>
      </c>
      <c r="L1064" t="s">
        <v>159</v>
      </c>
    </row>
    <row r="1065" spans="11:12" x14ac:dyDescent="0.25">
      <c r="K1065" t="s">
        <v>331</v>
      </c>
      <c r="L1065" t="s">
        <v>160</v>
      </c>
    </row>
    <row r="1066" spans="11:12" x14ac:dyDescent="0.25">
      <c r="K1066" t="s">
        <v>332</v>
      </c>
      <c r="L1066" t="s">
        <v>161</v>
      </c>
    </row>
    <row r="1067" spans="11:12" x14ac:dyDescent="0.25">
      <c r="K1067" t="s">
        <v>333</v>
      </c>
      <c r="L1067" t="s">
        <v>162</v>
      </c>
    </row>
    <row r="1068" spans="11:12" x14ac:dyDescent="0.25">
      <c r="K1068" t="s">
        <v>334</v>
      </c>
      <c r="L1068" t="s">
        <v>163</v>
      </c>
    </row>
    <row r="1069" spans="11:12" x14ac:dyDescent="0.25">
      <c r="K1069" t="s">
        <v>335</v>
      </c>
      <c r="L1069" t="s">
        <v>164</v>
      </c>
    </row>
    <row r="1070" spans="11:12" x14ac:dyDescent="0.25">
      <c r="K1070" t="s">
        <v>336</v>
      </c>
      <c r="L1070" t="s">
        <v>165</v>
      </c>
    </row>
    <row r="1071" spans="11:12" x14ac:dyDescent="0.25">
      <c r="K1071" t="s">
        <v>337</v>
      </c>
      <c r="L1071" t="s">
        <v>166</v>
      </c>
    </row>
    <row r="1072" spans="11:12" x14ac:dyDescent="0.25">
      <c r="K1072" t="s">
        <v>338</v>
      </c>
      <c r="L1072" t="s">
        <v>167</v>
      </c>
    </row>
    <row r="1073" spans="11:12" x14ac:dyDescent="0.25">
      <c r="K1073" t="s">
        <v>339</v>
      </c>
      <c r="L1073" t="s">
        <v>168</v>
      </c>
    </row>
    <row r="1074" spans="11:12" x14ac:dyDescent="0.25">
      <c r="K1074" t="s">
        <v>340</v>
      </c>
      <c r="L1074" t="s">
        <v>169</v>
      </c>
    </row>
    <row r="1075" spans="11:12" x14ac:dyDescent="0.25">
      <c r="K1075" t="s">
        <v>341</v>
      </c>
      <c r="L1075" t="s">
        <v>170</v>
      </c>
    </row>
    <row r="1076" spans="11:12" x14ac:dyDescent="0.25">
      <c r="K1076" t="s">
        <v>342</v>
      </c>
      <c r="L1076" t="s">
        <v>171</v>
      </c>
    </row>
    <row r="1077" spans="11:12" x14ac:dyDescent="0.25">
      <c r="K1077" t="s">
        <v>343</v>
      </c>
      <c r="L1077" t="s">
        <v>172</v>
      </c>
    </row>
    <row r="1078" spans="11:12" x14ac:dyDescent="0.25">
      <c r="K1078" t="s">
        <v>344</v>
      </c>
      <c r="L1078" t="s">
        <v>173</v>
      </c>
    </row>
    <row r="1079" spans="11:12" x14ac:dyDescent="0.25">
      <c r="K1079" t="s">
        <v>345</v>
      </c>
      <c r="L1079" t="s">
        <v>174</v>
      </c>
    </row>
    <row r="1080" spans="11:12" x14ac:dyDescent="0.25">
      <c r="K1080" t="s">
        <v>346</v>
      </c>
      <c r="L1080" t="s">
        <v>175</v>
      </c>
    </row>
    <row r="1081" spans="11:12" x14ac:dyDescent="0.25">
      <c r="K1081" t="s">
        <v>347</v>
      </c>
      <c r="L1081" t="s">
        <v>60</v>
      </c>
    </row>
    <row r="1082" spans="11:12" x14ac:dyDescent="0.25">
      <c r="K1082" t="s">
        <v>348</v>
      </c>
      <c r="L1082" t="s">
        <v>176</v>
      </c>
    </row>
    <row r="1083" spans="11:12" x14ac:dyDescent="0.25">
      <c r="K1083" t="s">
        <v>349</v>
      </c>
      <c r="L1083" t="s">
        <v>177</v>
      </c>
    </row>
    <row r="1084" spans="11:12" x14ac:dyDescent="0.25">
      <c r="K1084" t="s">
        <v>350</v>
      </c>
      <c r="L1084" t="s">
        <v>178</v>
      </c>
    </row>
    <row r="1085" spans="11:12" x14ac:dyDescent="0.25">
      <c r="K1085" t="s">
        <v>351</v>
      </c>
      <c r="L1085" t="s">
        <v>179</v>
      </c>
    </row>
    <row r="1086" spans="11:12" x14ac:dyDescent="0.25">
      <c r="K1086" t="s">
        <v>352</v>
      </c>
      <c r="L1086" t="s">
        <v>180</v>
      </c>
    </row>
    <row r="1087" spans="11:12" x14ac:dyDescent="0.25">
      <c r="K1087" t="s">
        <v>353</v>
      </c>
      <c r="L1087" t="s">
        <v>181</v>
      </c>
    </row>
    <row r="1088" spans="11:12" x14ac:dyDescent="0.25">
      <c r="K1088" t="s">
        <v>354</v>
      </c>
      <c r="L1088" t="s">
        <v>182</v>
      </c>
    </row>
    <row r="1089" spans="11:12" x14ac:dyDescent="0.25">
      <c r="K1089" t="s">
        <v>355</v>
      </c>
      <c r="L1089" t="s">
        <v>183</v>
      </c>
    </row>
    <row r="1090" spans="11:12" x14ac:dyDescent="0.25">
      <c r="K1090" t="s">
        <v>356</v>
      </c>
      <c r="L1090" t="s">
        <v>184</v>
      </c>
    </row>
    <row r="1091" spans="11:12" x14ac:dyDescent="0.25">
      <c r="K1091" t="s">
        <v>357</v>
      </c>
      <c r="L1091" t="s">
        <v>185</v>
      </c>
    </row>
    <row r="1092" spans="11:12" x14ac:dyDescent="0.25">
      <c r="K1092" t="s">
        <v>358</v>
      </c>
      <c r="L1092" t="s">
        <v>186</v>
      </c>
    </row>
    <row r="1093" spans="11:12" x14ac:dyDescent="0.25">
      <c r="K1093" t="s">
        <v>359</v>
      </c>
      <c r="L1093" t="s">
        <v>187</v>
      </c>
    </row>
    <row r="1094" spans="11:12" x14ac:dyDescent="0.25">
      <c r="K1094" t="s">
        <v>360</v>
      </c>
      <c r="L1094" t="s">
        <v>188</v>
      </c>
    </row>
    <row r="1095" spans="11:12" x14ac:dyDescent="0.25">
      <c r="K1095" t="s">
        <v>361</v>
      </c>
      <c r="L1095" t="s">
        <v>189</v>
      </c>
    </row>
    <row r="1096" spans="11:12" x14ac:dyDescent="0.25">
      <c r="K1096" t="s">
        <v>362</v>
      </c>
      <c r="L1096" t="s">
        <v>190</v>
      </c>
    </row>
    <row r="1097" spans="11:12" x14ac:dyDescent="0.25">
      <c r="K1097" t="s">
        <v>363</v>
      </c>
      <c r="L1097" t="s">
        <v>191</v>
      </c>
    </row>
    <row r="1098" spans="11:12" x14ac:dyDescent="0.25">
      <c r="K1098" t="s">
        <v>364</v>
      </c>
      <c r="L1098" t="s">
        <v>192</v>
      </c>
    </row>
    <row r="1099" spans="11:12" x14ac:dyDescent="0.25">
      <c r="K1099" t="s">
        <v>365</v>
      </c>
      <c r="L1099" t="s">
        <v>193</v>
      </c>
    </row>
    <row r="1100" spans="11:12" x14ac:dyDescent="0.25">
      <c r="K1100" t="s">
        <v>366</v>
      </c>
      <c r="L1100" t="s">
        <v>194</v>
      </c>
    </row>
    <row r="1101" spans="11:12" x14ac:dyDescent="0.25">
      <c r="K1101" t="s">
        <v>367</v>
      </c>
      <c r="L1101" t="s">
        <v>26</v>
      </c>
    </row>
    <row r="1102" spans="11:12" x14ac:dyDescent="0.25">
      <c r="K1102" t="s">
        <v>368</v>
      </c>
      <c r="L1102" t="s">
        <v>195</v>
      </c>
    </row>
    <row r="1103" spans="11:12" x14ac:dyDescent="0.25">
      <c r="K1103" t="s">
        <v>369</v>
      </c>
      <c r="L1103" t="s">
        <v>196</v>
      </c>
    </row>
    <row r="1104" spans="11:12" x14ac:dyDescent="0.25">
      <c r="K1104" t="s">
        <v>370</v>
      </c>
      <c r="L1104" t="s">
        <v>197</v>
      </c>
    </row>
    <row r="1105" spans="11:12" x14ac:dyDescent="0.25">
      <c r="K1105" t="s">
        <v>371</v>
      </c>
      <c r="L1105" t="s">
        <v>198</v>
      </c>
    </row>
    <row r="1106" spans="11:12" x14ac:dyDescent="0.25">
      <c r="K1106" t="s">
        <v>372</v>
      </c>
      <c r="L1106" t="s">
        <v>199</v>
      </c>
    </row>
    <row r="1107" spans="11:12" x14ac:dyDescent="0.25">
      <c r="K1107" t="s">
        <v>373</v>
      </c>
      <c r="L1107" t="s">
        <v>200</v>
      </c>
    </row>
    <row r="1108" spans="11:12" x14ac:dyDescent="0.25">
      <c r="K1108" t="s">
        <v>374</v>
      </c>
      <c r="L1108" t="s">
        <v>201</v>
      </c>
    </row>
    <row r="1109" spans="11:12" x14ac:dyDescent="0.25">
      <c r="K1109" t="s">
        <v>375</v>
      </c>
      <c r="L1109" t="s">
        <v>202</v>
      </c>
    </row>
    <row r="1110" spans="11:12" x14ac:dyDescent="0.25">
      <c r="K1110" t="s">
        <v>376</v>
      </c>
      <c r="L1110" t="s">
        <v>203</v>
      </c>
    </row>
    <row r="1111" spans="11:12" x14ac:dyDescent="0.25">
      <c r="K1111" t="s">
        <v>377</v>
      </c>
      <c r="L1111" t="s">
        <v>204</v>
      </c>
    </row>
    <row r="1112" spans="11:12" x14ac:dyDescent="0.25">
      <c r="K1112" t="s">
        <v>378</v>
      </c>
      <c r="L1112" t="s">
        <v>205</v>
      </c>
    </row>
    <row r="1113" spans="11:12" x14ac:dyDescent="0.25">
      <c r="K1113" t="s">
        <v>379</v>
      </c>
      <c r="L1113" t="s">
        <v>206</v>
      </c>
    </row>
    <row r="1114" spans="11:12" x14ac:dyDescent="0.25">
      <c r="K1114" t="s">
        <v>380</v>
      </c>
      <c r="L1114" t="s">
        <v>207</v>
      </c>
    </row>
    <row r="1115" spans="11:12" x14ac:dyDescent="0.25">
      <c r="K1115" t="s">
        <v>381</v>
      </c>
      <c r="L1115" t="s">
        <v>95</v>
      </c>
    </row>
  </sheetData>
  <dataValidations count="65">
    <dataValidation type="list" allowBlank="1" showInputMessage="1" showErrorMessage="1" sqref="K46" xr:uid="{00000000-0002-0000-0500-000000000000}">
      <formula1>$M$1020:$M$1046</formula1>
    </dataValidation>
    <dataValidation type="list" allowBlank="1" showInputMessage="1" showErrorMessage="1" sqref="L46" xr:uid="{00000000-0002-0000-0500-000001000000}">
      <formula1>$N$1020:$N$1046</formula1>
    </dataValidation>
    <dataValidation type="list" allowBlank="1" showInputMessage="1" showErrorMessage="1" sqref="M46" xr:uid="{00000000-0002-0000-0500-000002000000}">
      <formula1>$O$1020:$O$1046</formula1>
    </dataValidation>
    <dataValidation type="list" allowBlank="1" showInputMessage="1" showErrorMessage="1" sqref="J31 J29 J38:J49" xr:uid="{00000000-0002-0000-0500-000003000000}">
      <formula1>$R$992:$R$1000</formula1>
    </dataValidation>
    <dataValidation type="list" allowBlank="1" showInputMessage="1" showErrorMessage="1" sqref="N46" xr:uid="{00000000-0002-0000-0500-000004000000}">
      <formula1>$P$1020:$P$1046</formula1>
    </dataValidation>
    <dataValidation type="list" allowBlank="1" showInputMessage="1" showErrorMessage="1" sqref="K51" xr:uid="{00000000-0002-0000-0500-000005000000}">
      <formula1>$M$1021:$M$1047</formula1>
    </dataValidation>
    <dataValidation type="list" allowBlank="1" showInputMessage="1" showErrorMessage="1" sqref="L51" xr:uid="{00000000-0002-0000-0500-000006000000}">
      <formula1>$N$1021:$N$1047</formula1>
    </dataValidation>
    <dataValidation type="list" allowBlank="1" showInputMessage="1" showErrorMessage="1" sqref="M51" xr:uid="{00000000-0002-0000-0500-000007000000}">
      <formula1>$O$1021:$O$1047</formula1>
    </dataValidation>
    <dataValidation type="list" allowBlank="1" showInputMessage="1" showErrorMessage="1" sqref="J51" xr:uid="{00000000-0002-0000-0500-000008000000}">
      <formula1>$R$1021:$R$1024</formula1>
    </dataValidation>
    <dataValidation type="list" allowBlank="1" showInputMessage="1" showErrorMessage="1" sqref="N51" xr:uid="{00000000-0002-0000-0500-000009000000}">
      <formula1>$P$1021:$P$1047</formula1>
    </dataValidation>
    <dataValidation type="list" allowBlank="1" showInputMessage="1" showErrorMessage="1" sqref="K33:K34" xr:uid="{00000000-0002-0000-0500-00000A000000}">
      <formula1>$M$1022:$M$1048</formula1>
    </dataValidation>
    <dataValidation type="list" allowBlank="1" showInputMessage="1" showErrorMessage="1" sqref="L33:L34" xr:uid="{00000000-0002-0000-0500-00000B000000}">
      <formula1>$N$1022:$N$1048</formula1>
    </dataValidation>
    <dataValidation type="list" allowBlank="1" showInputMessage="1" showErrorMessage="1" sqref="M33:M34" xr:uid="{00000000-0002-0000-0500-00000C000000}">
      <formula1>$O$1022:$O$1048</formula1>
    </dataValidation>
    <dataValidation type="list" allowBlank="1" showInputMessage="1" showErrorMessage="1" sqref="N33:N34" xr:uid="{00000000-0002-0000-0500-00000D000000}">
      <formula1>$P$1023:$P$1048</formula1>
    </dataValidation>
    <dataValidation type="list" allowBlank="1" showInputMessage="1" showErrorMessage="1" sqref="J33:J34" xr:uid="{00000000-0002-0000-0500-00000E000000}">
      <formula1>$R$1022:$R$1025</formula1>
    </dataValidation>
    <dataValidation type="list" allowBlank="1" showInputMessage="1" showErrorMessage="1" sqref="K32 K38 K35" xr:uid="{00000000-0002-0000-0500-00000F000000}">
      <formula1>$M$1024:$M$1050</formula1>
    </dataValidation>
    <dataValidation type="list" allowBlank="1" showInputMessage="1" showErrorMessage="1" sqref="L32 L38 L35" xr:uid="{00000000-0002-0000-0500-000010000000}">
      <formula1>$N$1024:$N$1050</formula1>
    </dataValidation>
    <dataValidation type="list" allowBlank="1" showInputMessage="1" showErrorMessage="1" sqref="M32 M38 M35" xr:uid="{00000000-0002-0000-0500-000011000000}">
      <formula1>$O$1024:$O$1050</formula1>
    </dataValidation>
    <dataValidation type="list" allowBlank="1" showInputMessage="1" showErrorMessage="1" sqref="N32 N38 N35" xr:uid="{00000000-0002-0000-0500-000012000000}">
      <formula1>$P$1025:$P$1050</formula1>
    </dataValidation>
    <dataValidation type="list" allowBlank="1" showInputMessage="1" showErrorMessage="1" sqref="J32 J35" xr:uid="{00000000-0002-0000-0500-000013000000}">
      <formula1>$R$1024:$R$1027</formula1>
    </dataValidation>
    <dataValidation type="list" allowBlank="1" showInputMessage="1" showErrorMessage="1" sqref="M47:M50 M39:M45 M36:M37 M21:M31 M52 M54:M988" xr:uid="{00000000-0002-0000-0500-000014000000}">
      <formula1>$O$992:$O$1018</formula1>
    </dataValidation>
    <dataValidation type="list" allowBlank="1" showInputMessage="1" showErrorMessage="1" sqref="N47:N50 N39:N40 N36:N37 N42:N45 N52 N54:N990" xr:uid="{00000000-0002-0000-0500-000015000000}">
      <formula1>$P$992:$P$1018</formula1>
    </dataValidation>
    <dataValidation type="list" allowBlank="1" showInputMessage="1" showErrorMessage="1" sqref="N11" xr:uid="{00000000-0002-0000-0500-000016000000}">
      <formula1>$P$992:$P$1017</formula1>
    </dataValidation>
    <dataValidation type="list" allowBlank="1" showInputMessage="1" showErrorMessage="1" sqref="M11" xr:uid="{00000000-0002-0000-0500-000017000000}">
      <formula1>$O$992:$O$1017</formula1>
    </dataValidation>
    <dataValidation type="list" allowBlank="1" showInputMessage="1" showErrorMessage="1" sqref="L11" xr:uid="{00000000-0002-0000-0500-000018000000}">
      <formula1>$N$992:$N$1017</formula1>
    </dataValidation>
    <dataValidation type="list" allowBlank="1" showInputMessage="1" showErrorMessage="1" sqref="K11" xr:uid="{00000000-0002-0000-0500-000019000000}">
      <formula1>$M$992:$M$1017</formula1>
    </dataValidation>
    <dataValidation type="list" allowBlank="1" showInputMessage="1" showErrorMessage="1" sqref="N41 N21:N31" xr:uid="{00000000-0002-0000-0500-00001A000000}">
      <formula1>$P$993:$P$1018</formula1>
    </dataValidation>
    <dataValidation type="list" allowBlank="1" showInputMessage="1" showErrorMessage="1" sqref="J25:J27 J52 J50 J30" xr:uid="{00000000-0002-0000-0500-00001B000000}">
      <formula1>$R$992:$R$995</formula1>
    </dataValidation>
    <dataValidation type="list" allowBlank="1" showInputMessage="1" showErrorMessage="1" sqref="K54" xr:uid="{00000000-0002-0000-0500-00001C000000}">
      <formula1>$M$976:$M$1002</formula1>
    </dataValidation>
    <dataValidation type="list" allowBlank="1" showInputMessage="1" showErrorMessage="1" sqref="L54" xr:uid="{00000000-0002-0000-0500-00001D000000}">
      <formula1>$N$976:$N$1002</formula1>
    </dataValidation>
    <dataValidation type="list" allowBlank="1" showInputMessage="1" showErrorMessage="1" sqref="J54" xr:uid="{00000000-0002-0000-0500-00001E000000}">
      <formula1>$R$976:$R$980</formula1>
    </dataValidation>
    <dataValidation type="list" allowBlank="1" showInputMessage="1" showErrorMessage="1" sqref="K55:K988 K39:K45 K36:K37 K47:K50 K21:K31 K52" xr:uid="{00000000-0002-0000-0500-00001F000000}">
      <formula1>$M$992:$M$1018</formula1>
    </dataValidation>
    <dataValidation type="list" allowBlank="1" showInputMessage="1" showErrorMessage="1" sqref="L55:L988 L39:L45 L36:L37 L47:L50 L21:L31 L52" xr:uid="{00000000-0002-0000-0500-000020000000}">
      <formula1>$N$992:$N$1018</formula1>
    </dataValidation>
    <dataValidation type="list" allowBlank="1" showInputMessage="1" showErrorMessage="1" sqref="J55:J989" xr:uid="{00000000-0002-0000-0500-000021000000}">
      <formula1>$R$992:$R$996</formula1>
    </dataValidation>
    <dataValidation type="list" allowBlank="1" showInputMessage="1" showErrorMessage="1" sqref="J11 J21:J24" xr:uid="{00000000-0002-0000-0500-000022000000}">
      <formula1>$R$992:$R$994</formula1>
    </dataValidation>
    <dataValidation type="list" allowBlank="1" showInputMessage="1" showErrorMessage="1" sqref="J28 J6:J8 J36:J37" xr:uid="{00000000-0002-0000-0500-000023000000}">
      <formula1>$R$992:$R$997</formula1>
    </dataValidation>
    <dataValidation type="list" allowBlank="1" showInputMessage="1" showErrorMessage="1" sqref="J4" xr:uid="{00000000-0002-0000-0500-000024000000}">
      <formula1>$R$1014:$R$1019</formula1>
    </dataValidation>
    <dataValidation type="list" allowBlank="1" showInputMessage="1" showErrorMessage="1" sqref="N2:N6" xr:uid="{00000000-0002-0000-0500-000025000000}">
      <formula1>$P$1014:$P$1039</formula1>
    </dataValidation>
    <dataValidation type="list" allowBlank="1" showInputMessage="1" showErrorMessage="1" sqref="M2:M6" xr:uid="{00000000-0002-0000-0500-000026000000}">
      <formula1>$O$1014:$O$1039</formula1>
    </dataValidation>
    <dataValidation type="list" allowBlank="1" showInputMessage="1" showErrorMessage="1" sqref="L2:L6" xr:uid="{00000000-0002-0000-0500-000027000000}">
      <formula1>$N$1014:$N$1039</formula1>
    </dataValidation>
    <dataValidation type="list" allowBlank="1" showInputMessage="1" showErrorMessage="1" sqref="K2:K6" xr:uid="{00000000-0002-0000-0500-000028000000}">
      <formula1>$M$1014:$M$1039</formula1>
    </dataValidation>
    <dataValidation type="list" allowBlank="1" showInputMessage="1" showErrorMessage="1" sqref="J2:J3 J5" xr:uid="{00000000-0002-0000-0500-000029000000}">
      <formula1>$R$992:$R$998</formula1>
    </dataValidation>
    <dataValidation type="list" allowBlank="1" showInputMessage="1" showErrorMessage="1" sqref="N7:N8" xr:uid="{00000000-0002-0000-0500-00002A000000}">
      <formula1>$P$1012:$P$1037</formula1>
    </dataValidation>
    <dataValidation type="list" allowBlank="1" showInputMessage="1" showErrorMessage="1" sqref="M7:M8" xr:uid="{00000000-0002-0000-0500-00002B000000}">
      <formula1>$O$1012:$O$1037</formula1>
    </dataValidation>
    <dataValidation type="list" allowBlank="1" showInputMessage="1" showErrorMessage="1" sqref="L7:L8" xr:uid="{00000000-0002-0000-0500-00002C000000}">
      <formula1>$N$1012:$N$1037</formula1>
    </dataValidation>
    <dataValidation type="list" allowBlank="1" showInputMessage="1" showErrorMessage="1" sqref="K7:K8" xr:uid="{00000000-0002-0000-0500-00002D000000}">
      <formula1>$M$1012:$M$1037</formula1>
    </dataValidation>
    <dataValidation type="list" allowBlank="1" showInputMessage="1" showErrorMessage="1" sqref="N9:N10" xr:uid="{00000000-0002-0000-0500-00002E000000}">
      <formula1>$P$1010:$P$1035</formula1>
    </dataValidation>
    <dataValidation type="list" allowBlank="1" showInputMessage="1" showErrorMessage="1" sqref="M9:M10" xr:uid="{00000000-0002-0000-0500-00002F000000}">
      <formula1>$O$1010:$O$1035</formula1>
    </dataValidation>
    <dataValidation type="list" allowBlank="1" showInputMessage="1" showErrorMessage="1" sqref="L9:L10" xr:uid="{00000000-0002-0000-0500-000030000000}">
      <formula1>$N$1010:$N$1035</formula1>
    </dataValidation>
    <dataValidation type="list" allowBlank="1" showInputMessage="1" showErrorMessage="1" sqref="K9:K10" xr:uid="{00000000-0002-0000-0500-000031000000}">
      <formula1>$M$1010:$M$1035</formula1>
    </dataValidation>
    <dataValidation type="list" allowBlank="1" showInputMessage="1" showErrorMessage="1" sqref="J9:J10" xr:uid="{00000000-0002-0000-0500-000032000000}">
      <formula1>$R$1010:$R$1012</formula1>
    </dataValidation>
    <dataValidation type="list" allowBlank="1" showInputMessage="1" showErrorMessage="1" sqref="N18:N20" xr:uid="{00000000-0002-0000-0500-000033000000}">
      <formula1>$P$1002:$P$1027</formula1>
    </dataValidation>
    <dataValidation type="list" allowBlank="1" showInputMessage="1" showErrorMessage="1" sqref="N12:N17" xr:uid="{00000000-0002-0000-0500-000034000000}">
      <formula1>$P$1001:$P$1026</formula1>
    </dataValidation>
    <dataValidation type="list" allowBlank="1" showInputMessage="1" showErrorMessage="1" sqref="M12:M16" xr:uid="{00000000-0002-0000-0500-000035000000}">
      <formula1>$O$1001:$O$1026</formula1>
    </dataValidation>
    <dataValidation type="list" allowBlank="1" showInputMessage="1" showErrorMessage="1" sqref="L12:L17" xr:uid="{00000000-0002-0000-0500-000036000000}">
      <formula1>$N$1001:$N$1026</formula1>
    </dataValidation>
    <dataValidation type="list" allowBlank="1" showInputMessage="1" showErrorMessage="1" sqref="K12:K16" xr:uid="{00000000-0002-0000-0500-000037000000}">
      <formula1>$M$1001:$M$1026</formula1>
    </dataValidation>
    <dataValidation type="list" allowBlank="1" showInputMessage="1" showErrorMessage="1" sqref="J12:J20" xr:uid="{00000000-0002-0000-0500-000038000000}">
      <formula1>$R$1001:$R$1003</formula1>
    </dataValidation>
    <dataValidation type="list" allowBlank="1" showInputMessage="1" showErrorMessage="1" sqref="K17:K20" xr:uid="{00000000-0002-0000-0500-000039000000}">
      <formula1>$M$1001:$M$1027</formula1>
    </dataValidation>
    <dataValidation type="list" allowBlank="1" showInputMessage="1" showErrorMessage="1" sqref="L18:L20" xr:uid="{00000000-0002-0000-0500-00003A000000}">
      <formula1>$N$1001:$N$1027</formula1>
    </dataValidation>
    <dataValidation type="list" allowBlank="1" showInputMessage="1" showErrorMessage="1" sqref="M17:M20" xr:uid="{00000000-0002-0000-0500-00003B000000}">
      <formula1>$O$1001:$O$1027</formula1>
    </dataValidation>
    <dataValidation type="list" allowBlank="1" showInputMessage="1" showErrorMessage="1" sqref="M53" xr:uid="{00000000-0002-0000-0500-00003C000000}">
      <formula1>$O$974:$O$1000</formula1>
    </dataValidation>
    <dataValidation type="list" allowBlank="1" showInputMessage="1" showErrorMessage="1" sqref="N53" xr:uid="{00000000-0002-0000-0500-00003D000000}">
      <formula1>$P$974:$P$1000</formula1>
    </dataValidation>
    <dataValidation type="list" allowBlank="1" showInputMessage="1" showErrorMessage="1" sqref="J53" xr:uid="{00000000-0002-0000-0500-00003E000000}">
      <formula1>$R$974:$R$977</formula1>
    </dataValidation>
    <dataValidation type="list" allowBlank="1" showInputMessage="1" showErrorMessage="1" sqref="K53" xr:uid="{00000000-0002-0000-0500-00003F000000}">
      <formula1>$M$974:$M$1000</formula1>
    </dataValidation>
    <dataValidation type="list" allowBlank="1" showInputMessage="1" showErrorMessage="1" sqref="L53" xr:uid="{00000000-0002-0000-0500-000040000000}">
      <formula1>$N$974:$N$1000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T1085"/>
  <sheetViews>
    <sheetView workbookViewId="0">
      <pane xSplit="9075" ySplit="600" topLeftCell="R1" activePane="bottomLeft"/>
      <selection activeCell="R23" sqref="R23"/>
      <selection pane="topRight" activeCell="G1" sqref="G1"/>
      <selection pane="bottomLeft" activeCell="G28" sqref="G28"/>
      <selection pane="bottomRight" activeCell="T15" sqref="T15"/>
    </sheetView>
  </sheetViews>
  <sheetFormatPr defaultRowHeight="15" x14ac:dyDescent="0.25"/>
  <cols>
    <col min="1" max="1" width="6.7109375" customWidth="1"/>
    <col min="2" max="2" width="8.5703125" customWidth="1"/>
    <col min="3" max="3" width="7.85546875" customWidth="1"/>
    <col min="4" max="4" width="16.85546875" customWidth="1"/>
    <col min="5" max="5" width="7.7109375" customWidth="1"/>
    <col min="6" max="6" width="12.7109375" customWidth="1"/>
    <col min="7" max="7" width="14.85546875" customWidth="1"/>
    <col min="8" max="8" width="7.42578125" customWidth="1"/>
    <col min="9" max="10" width="9.85546875" customWidth="1"/>
    <col min="11" max="11" width="25.28515625" customWidth="1"/>
    <col min="12" max="12" width="9.140625" customWidth="1"/>
    <col min="13" max="13" width="22.85546875" customWidth="1"/>
    <col min="14" max="14" width="9.85546875" customWidth="1"/>
    <col min="15" max="16" width="6.42578125" customWidth="1"/>
    <col min="17" max="18" width="34.5703125" customWidth="1"/>
    <col min="19" max="19" width="23" customWidth="1"/>
    <col min="20" max="20" width="19.5703125" customWidth="1"/>
  </cols>
  <sheetData>
    <row r="1" spans="1:20" x14ac:dyDescent="0.25">
      <c r="A1" s="1" t="s">
        <v>414</v>
      </c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432</v>
      </c>
      <c r="K1" s="1" t="s">
        <v>426</v>
      </c>
      <c r="L1" s="1" t="s">
        <v>425</v>
      </c>
      <c r="M1" s="1" t="s">
        <v>427</v>
      </c>
      <c r="N1" s="1" t="s">
        <v>428</v>
      </c>
      <c r="O1" s="1" t="s">
        <v>429</v>
      </c>
      <c r="P1" s="1" t="s">
        <v>430</v>
      </c>
      <c r="Q1" s="1" t="s">
        <v>472</v>
      </c>
      <c r="R1" s="1" t="s">
        <v>431</v>
      </c>
      <c r="S1" s="1" t="s">
        <v>423</v>
      </c>
      <c r="T1" s="1" t="s">
        <v>424</v>
      </c>
    </row>
    <row r="2" spans="1:20" x14ac:dyDescent="0.25">
      <c r="A2" t="s">
        <v>748</v>
      </c>
      <c r="B2" t="s">
        <v>601</v>
      </c>
      <c r="C2" t="s">
        <v>602</v>
      </c>
      <c r="J2" t="s">
        <v>434</v>
      </c>
      <c r="K2" t="s">
        <v>449</v>
      </c>
      <c r="L2" t="s">
        <v>402</v>
      </c>
      <c r="M2" t="s">
        <v>443</v>
      </c>
      <c r="N2" t="s">
        <v>405</v>
      </c>
      <c r="R2" t="s">
        <v>796</v>
      </c>
      <c r="S2" t="s">
        <v>670</v>
      </c>
      <c r="T2" t="s">
        <v>1021</v>
      </c>
    </row>
    <row r="3" spans="1:20" x14ac:dyDescent="0.25">
      <c r="A3" t="s">
        <v>748</v>
      </c>
      <c r="B3" t="s">
        <v>601</v>
      </c>
      <c r="C3" t="s">
        <v>602</v>
      </c>
      <c r="D3" t="s">
        <v>603</v>
      </c>
      <c r="E3" t="s">
        <v>604</v>
      </c>
      <c r="J3" t="s">
        <v>434</v>
      </c>
      <c r="K3" t="s">
        <v>449</v>
      </c>
      <c r="L3" t="s">
        <v>402</v>
      </c>
      <c r="M3" t="s">
        <v>443</v>
      </c>
      <c r="N3" t="s">
        <v>405</v>
      </c>
      <c r="R3" t="s">
        <v>771</v>
      </c>
      <c r="S3" t="s">
        <v>672</v>
      </c>
      <c r="T3" t="s">
        <v>1021</v>
      </c>
    </row>
    <row r="4" spans="1:20" x14ac:dyDescent="0.25">
      <c r="A4" t="s">
        <v>748</v>
      </c>
      <c r="B4" t="s">
        <v>601</v>
      </c>
      <c r="C4" t="s">
        <v>602</v>
      </c>
      <c r="D4" t="s">
        <v>605</v>
      </c>
      <c r="E4" t="s">
        <v>606</v>
      </c>
      <c r="J4" t="s">
        <v>434</v>
      </c>
      <c r="K4" t="s">
        <v>449</v>
      </c>
      <c r="L4" t="s">
        <v>402</v>
      </c>
      <c r="M4" t="s">
        <v>443</v>
      </c>
      <c r="N4" t="s">
        <v>405</v>
      </c>
      <c r="Q4" t="s">
        <v>607</v>
      </c>
      <c r="R4" t="s">
        <v>771</v>
      </c>
      <c r="S4" t="s">
        <v>671</v>
      </c>
      <c r="T4" t="s">
        <v>1021</v>
      </c>
    </row>
    <row r="5" spans="1:20" x14ac:dyDescent="0.25">
      <c r="A5" t="s">
        <v>748</v>
      </c>
      <c r="B5" t="s">
        <v>608</v>
      </c>
      <c r="C5" t="s">
        <v>609</v>
      </c>
      <c r="J5" t="s">
        <v>434</v>
      </c>
      <c r="K5" t="s">
        <v>437</v>
      </c>
      <c r="L5" t="s">
        <v>409</v>
      </c>
      <c r="M5" t="s">
        <v>563</v>
      </c>
      <c r="N5" t="s">
        <v>564</v>
      </c>
      <c r="Q5" t="s">
        <v>610</v>
      </c>
      <c r="R5" t="s">
        <v>785</v>
      </c>
      <c r="S5" t="s">
        <v>673</v>
      </c>
      <c r="T5" t="s">
        <v>1021</v>
      </c>
    </row>
    <row r="6" spans="1:20" x14ac:dyDescent="0.25">
      <c r="A6" t="s">
        <v>748</v>
      </c>
      <c r="B6" t="s">
        <v>608</v>
      </c>
      <c r="C6" t="s">
        <v>609</v>
      </c>
      <c r="D6" t="s">
        <v>718</v>
      </c>
      <c r="E6" t="s">
        <v>720</v>
      </c>
      <c r="J6" t="s">
        <v>434</v>
      </c>
      <c r="K6" t="s">
        <v>437</v>
      </c>
      <c r="L6" t="s">
        <v>409</v>
      </c>
      <c r="M6" t="s">
        <v>563</v>
      </c>
      <c r="N6" t="s">
        <v>564</v>
      </c>
      <c r="Q6" t="s">
        <v>470</v>
      </c>
      <c r="R6" t="s">
        <v>782</v>
      </c>
      <c r="S6" t="s">
        <v>673</v>
      </c>
      <c r="T6" t="s">
        <v>1021</v>
      </c>
    </row>
    <row r="7" spans="1:20" x14ac:dyDescent="0.25">
      <c r="A7" t="s">
        <v>748</v>
      </c>
      <c r="B7" t="s">
        <v>608</v>
      </c>
      <c r="D7" t="s">
        <v>719</v>
      </c>
      <c r="E7" t="s">
        <v>721</v>
      </c>
      <c r="J7" t="s">
        <v>434</v>
      </c>
      <c r="K7" t="s">
        <v>437</v>
      </c>
      <c r="L7" t="s">
        <v>409</v>
      </c>
      <c r="M7" t="s">
        <v>563</v>
      </c>
      <c r="N7" t="s">
        <v>564</v>
      </c>
      <c r="Q7" t="s">
        <v>722</v>
      </c>
      <c r="R7" t="s">
        <v>782</v>
      </c>
      <c r="S7" t="s">
        <v>673</v>
      </c>
      <c r="T7" t="s">
        <v>1021</v>
      </c>
    </row>
    <row r="8" spans="1:20" x14ac:dyDescent="0.25">
      <c r="A8" t="s">
        <v>748</v>
      </c>
      <c r="B8" t="s">
        <v>611</v>
      </c>
      <c r="C8" t="s">
        <v>383</v>
      </c>
      <c r="J8" t="s">
        <v>762</v>
      </c>
      <c r="K8" t="s">
        <v>439</v>
      </c>
      <c r="L8" t="s">
        <v>410</v>
      </c>
      <c r="M8" t="s">
        <v>443</v>
      </c>
      <c r="N8" t="s">
        <v>405</v>
      </c>
      <c r="Q8" t="s">
        <v>612</v>
      </c>
      <c r="R8" t="s">
        <v>784</v>
      </c>
      <c r="S8" t="s">
        <v>674</v>
      </c>
      <c r="T8" t="s">
        <v>1021</v>
      </c>
    </row>
    <row r="9" spans="1:20" x14ac:dyDescent="0.25">
      <c r="A9" t="s">
        <v>748</v>
      </c>
      <c r="B9" t="s">
        <v>611</v>
      </c>
      <c r="C9" t="s">
        <v>383</v>
      </c>
      <c r="D9" t="s">
        <v>724</v>
      </c>
      <c r="E9" t="s">
        <v>726</v>
      </c>
      <c r="J9" t="s">
        <v>762</v>
      </c>
      <c r="K9" t="s">
        <v>441</v>
      </c>
      <c r="L9" t="s">
        <v>412</v>
      </c>
      <c r="M9" t="s">
        <v>462</v>
      </c>
      <c r="N9" t="s">
        <v>398</v>
      </c>
      <c r="Q9" t="s">
        <v>729</v>
      </c>
      <c r="R9" t="s">
        <v>782</v>
      </c>
      <c r="S9" t="s">
        <v>674</v>
      </c>
      <c r="T9" t="s">
        <v>1021</v>
      </c>
    </row>
    <row r="10" spans="1:20" x14ac:dyDescent="0.25">
      <c r="A10" t="s">
        <v>748</v>
      </c>
      <c r="B10" t="s">
        <v>611</v>
      </c>
      <c r="C10" t="s">
        <v>383</v>
      </c>
      <c r="D10" t="s">
        <v>723</v>
      </c>
      <c r="E10" t="s">
        <v>725</v>
      </c>
      <c r="J10" t="s">
        <v>762</v>
      </c>
      <c r="K10" t="s">
        <v>439</v>
      </c>
      <c r="L10" t="s">
        <v>410</v>
      </c>
      <c r="M10" t="s">
        <v>438</v>
      </c>
      <c r="N10" t="s">
        <v>413</v>
      </c>
      <c r="Q10" t="s">
        <v>730</v>
      </c>
      <c r="R10" t="s">
        <v>782</v>
      </c>
      <c r="S10" t="s">
        <v>674</v>
      </c>
      <c r="T10" t="s">
        <v>1021</v>
      </c>
    </row>
    <row r="11" spans="1:20" x14ac:dyDescent="0.25">
      <c r="A11" t="s">
        <v>748</v>
      </c>
      <c r="D11" t="s">
        <v>613</v>
      </c>
      <c r="E11" t="s">
        <v>115</v>
      </c>
      <c r="J11" t="s">
        <v>762</v>
      </c>
      <c r="K11" t="s">
        <v>449</v>
      </c>
      <c r="L11" t="s">
        <v>402</v>
      </c>
      <c r="M11" t="s">
        <v>563</v>
      </c>
      <c r="N11" t="s">
        <v>564</v>
      </c>
      <c r="Q11" t="s">
        <v>614</v>
      </c>
      <c r="R11" t="s">
        <v>783</v>
      </c>
      <c r="S11" t="s">
        <v>646</v>
      </c>
      <c r="T11" t="s">
        <v>1021</v>
      </c>
    </row>
    <row r="12" spans="1:20" x14ac:dyDescent="0.25">
      <c r="A12" t="s">
        <v>748</v>
      </c>
      <c r="B12" t="s">
        <v>615</v>
      </c>
      <c r="C12" t="s">
        <v>160</v>
      </c>
      <c r="J12" t="s">
        <v>762</v>
      </c>
      <c r="K12" t="s">
        <v>563</v>
      </c>
      <c r="L12" t="s">
        <v>564</v>
      </c>
      <c r="M12" t="s">
        <v>437</v>
      </c>
      <c r="N12" t="s">
        <v>409</v>
      </c>
      <c r="Q12" t="s">
        <v>616</v>
      </c>
      <c r="R12" t="s">
        <v>781</v>
      </c>
      <c r="S12" t="s">
        <v>580</v>
      </c>
      <c r="T12" t="s">
        <v>1021</v>
      </c>
    </row>
    <row r="13" spans="1:20" x14ac:dyDescent="0.25">
      <c r="A13" t="s">
        <v>748</v>
      </c>
      <c r="D13" t="s">
        <v>617</v>
      </c>
      <c r="E13" t="s">
        <v>618</v>
      </c>
      <c r="J13" t="s">
        <v>762</v>
      </c>
      <c r="K13" t="s">
        <v>449</v>
      </c>
      <c r="L13" t="s">
        <v>402</v>
      </c>
      <c r="M13" t="s">
        <v>446</v>
      </c>
      <c r="N13" t="s">
        <v>399</v>
      </c>
      <c r="Q13" t="s">
        <v>619</v>
      </c>
      <c r="R13" t="s">
        <v>780</v>
      </c>
      <c r="S13" t="s">
        <v>666</v>
      </c>
      <c r="T13" t="s">
        <v>1021</v>
      </c>
    </row>
    <row r="14" spans="1:20" x14ac:dyDescent="0.25">
      <c r="A14" t="s">
        <v>748</v>
      </c>
      <c r="D14" t="s">
        <v>620</v>
      </c>
      <c r="E14" t="s">
        <v>621</v>
      </c>
      <c r="J14" t="s">
        <v>762</v>
      </c>
      <c r="K14" t="s">
        <v>446</v>
      </c>
      <c r="L14" t="s">
        <v>399</v>
      </c>
      <c r="M14" t="s">
        <v>443</v>
      </c>
      <c r="N14" t="s">
        <v>405</v>
      </c>
      <c r="Q14" t="s">
        <v>622</v>
      </c>
      <c r="R14" t="s">
        <v>779</v>
      </c>
      <c r="S14" t="s">
        <v>580</v>
      </c>
      <c r="T14" t="s">
        <v>1021</v>
      </c>
    </row>
    <row r="15" spans="1:20" x14ac:dyDescent="0.25">
      <c r="A15" t="s">
        <v>748</v>
      </c>
      <c r="B15" t="s">
        <v>623</v>
      </c>
      <c r="C15" t="s">
        <v>624</v>
      </c>
      <c r="J15" t="s">
        <v>762</v>
      </c>
      <c r="K15" t="s">
        <v>437</v>
      </c>
      <c r="L15" t="s">
        <v>409</v>
      </c>
      <c r="M15" t="s">
        <v>563</v>
      </c>
      <c r="N15" t="s">
        <v>564</v>
      </c>
      <c r="Q15" t="s">
        <v>625</v>
      </c>
      <c r="R15" t="s">
        <v>777</v>
      </c>
      <c r="S15" t="s">
        <v>580</v>
      </c>
      <c r="T15" t="s">
        <v>1021</v>
      </c>
    </row>
    <row r="16" spans="1:20" x14ac:dyDescent="0.25">
      <c r="A16" t="s">
        <v>748</v>
      </c>
      <c r="C16" t="s">
        <v>624</v>
      </c>
      <c r="D16" t="s">
        <v>626</v>
      </c>
      <c r="E16" t="s">
        <v>150</v>
      </c>
      <c r="J16" t="s">
        <v>762</v>
      </c>
      <c r="K16" t="s">
        <v>437</v>
      </c>
      <c r="L16" t="s">
        <v>409</v>
      </c>
      <c r="M16" t="s">
        <v>563</v>
      </c>
      <c r="N16" t="s">
        <v>564</v>
      </c>
      <c r="Q16" t="s">
        <v>470</v>
      </c>
      <c r="R16" t="s">
        <v>778</v>
      </c>
      <c r="S16" t="s">
        <v>580</v>
      </c>
      <c r="T16" t="s">
        <v>1021</v>
      </c>
    </row>
    <row r="17" spans="1:20" x14ac:dyDescent="0.25">
      <c r="A17" t="s">
        <v>748</v>
      </c>
      <c r="B17" t="s">
        <v>627</v>
      </c>
      <c r="C17" t="s">
        <v>628</v>
      </c>
      <c r="J17" t="s">
        <v>762</v>
      </c>
      <c r="K17" t="s">
        <v>437</v>
      </c>
      <c r="L17" t="s">
        <v>409</v>
      </c>
      <c r="M17" t="s">
        <v>563</v>
      </c>
      <c r="N17" t="s">
        <v>564</v>
      </c>
      <c r="R17" t="s">
        <v>776</v>
      </c>
      <c r="S17" t="s">
        <v>580</v>
      </c>
      <c r="T17" t="s">
        <v>1021</v>
      </c>
    </row>
    <row r="18" spans="1:20" x14ac:dyDescent="0.25">
      <c r="A18" t="s">
        <v>748</v>
      </c>
      <c r="B18" t="s">
        <v>629</v>
      </c>
      <c r="C18" t="s">
        <v>630</v>
      </c>
      <c r="J18" t="s">
        <v>762</v>
      </c>
      <c r="K18" t="s">
        <v>563</v>
      </c>
      <c r="L18" t="s">
        <v>564</v>
      </c>
      <c r="M18" t="s">
        <v>441</v>
      </c>
      <c r="N18" t="s">
        <v>412</v>
      </c>
      <c r="Q18" t="s">
        <v>774</v>
      </c>
      <c r="R18" t="s">
        <v>773</v>
      </c>
      <c r="S18" t="s">
        <v>666</v>
      </c>
      <c r="T18" t="s">
        <v>1021</v>
      </c>
    </row>
    <row r="19" spans="1:20" x14ac:dyDescent="0.25">
      <c r="A19" t="s">
        <v>748</v>
      </c>
      <c r="B19" t="s">
        <v>632</v>
      </c>
      <c r="C19" t="s">
        <v>633</v>
      </c>
      <c r="J19" t="s">
        <v>763</v>
      </c>
      <c r="K19" t="s">
        <v>449</v>
      </c>
      <c r="L19" t="s">
        <v>402</v>
      </c>
      <c r="M19" t="s">
        <v>437</v>
      </c>
      <c r="N19" t="s">
        <v>409</v>
      </c>
      <c r="Q19" t="s">
        <v>775</v>
      </c>
      <c r="R19" t="s">
        <v>772</v>
      </c>
      <c r="S19" t="s">
        <v>580</v>
      </c>
      <c r="T19" t="s">
        <v>1021</v>
      </c>
    </row>
    <row r="20" spans="1:20" x14ac:dyDescent="0.25">
      <c r="A20" t="s">
        <v>748</v>
      </c>
      <c r="B20" t="s">
        <v>634</v>
      </c>
      <c r="C20" t="s">
        <v>635</v>
      </c>
      <c r="J20" t="s">
        <v>434</v>
      </c>
      <c r="K20" t="s">
        <v>449</v>
      </c>
      <c r="L20" t="s">
        <v>402</v>
      </c>
      <c r="M20" t="s">
        <v>446</v>
      </c>
      <c r="N20" t="s">
        <v>399</v>
      </c>
      <c r="Q20" t="s">
        <v>636</v>
      </c>
      <c r="R20" t="s">
        <v>765</v>
      </c>
      <c r="S20" t="s">
        <v>637</v>
      </c>
      <c r="T20" t="s">
        <v>1021</v>
      </c>
    </row>
    <row r="21" spans="1:20" x14ac:dyDescent="0.25">
      <c r="A21" t="s">
        <v>748</v>
      </c>
      <c r="B21" t="s">
        <v>634</v>
      </c>
      <c r="C21" t="s">
        <v>635</v>
      </c>
      <c r="D21" t="s">
        <v>638</v>
      </c>
      <c r="E21" t="s">
        <v>639</v>
      </c>
      <c r="J21" t="s">
        <v>434</v>
      </c>
      <c r="K21" t="s">
        <v>449</v>
      </c>
      <c r="L21" t="s">
        <v>402</v>
      </c>
      <c r="M21" t="s">
        <v>563</v>
      </c>
      <c r="N21" t="s">
        <v>564</v>
      </c>
      <c r="R21" t="s">
        <v>771</v>
      </c>
      <c r="S21" t="s">
        <v>675</v>
      </c>
      <c r="T21" t="s">
        <v>1021</v>
      </c>
    </row>
    <row r="22" spans="1:20" x14ac:dyDescent="0.25">
      <c r="A22" t="s">
        <v>748</v>
      </c>
      <c r="B22" t="s">
        <v>640</v>
      </c>
      <c r="C22" t="s">
        <v>641</v>
      </c>
      <c r="J22" t="s">
        <v>436</v>
      </c>
      <c r="K22" t="s">
        <v>443</v>
      </c>
      <c r="L22" t="s">
        <v>405</v>
      </c>
      <c r="M22" t="s">
        <v>446</v>
      </c>
      <c r="N22" t="s">
        <v>399</v>
      </c>
      <c r="Q22" t="s">
        <v>642</v>
      </c>
      <c r="R22" t="s">
        <v>766</v>
      </c>
      <c r="S22" t="s">
        <v>660</v>
      </c>
      <c r="T22" t="s">
        <v>1021</v>
      </c>
    </row>
    <row r="23" spans="1:20" x14ac:dyDescent="0.25">
      <c r="A23" t="s">
        <v>748</v>
      </c>
      <c r="B23" t="s">
        <v>758</v>
      </c>
      <c r="C23" t="s">
        <v>759</v>
      </c>
      <c r="J23" t="s">
        <v>436</v>
      </c>
      <c r="K23" t="s">
        <v>449</v>
      </c>
      <c r="L23" t="s">
        <v>402</v>
      </c>
      <c r="M23" t="s">
        <v>446</v>
      </c>
      <c r="N23" t="s">
        <v>399</v>
      </c>
      <c r="Q23" t="s">
        <v>760</v>
      </c>
      <c r="R23" t="s">
        <v>767</v>
      </c>
      <c r="S23" t="s">
        <v>761</v>
      </c>
      <c r="T23" t="s">
        <v>1021</v>
      </c>
    </row>
    <row r="24" spans="1:20" x14ac:dyDescent="0.25">
      <c r="A24" t="s">
        <v>748</v>
      </c>
      <c r="B24" t="s">
        <v>681</v>
      </c>
      <c r="C24" t="s">
        <v>677</v>
      </c>
      <c r="J24" t="s">
        <v>643</v>
      </c>
      <c r="K24" t="s">
        <v>443</v>
      </c>
      <c r="L24" t="s">
        <v>405</v>
      </c>
      <c r="M24" t="s">
        <v>446</v>
      </c>
      <c r="N24" t="s">
        <v>399</v>
      </c>
      <c r="Q24" t="s">
        <v>684</v>
      </c>
      <c r="R24" t="s">
        <v>771</v>
      </c>
      <c r="S24" t="s">
        <v>644</v>
      </c>
      <c r="T24" t="s">
        <v>1021</v>
      </c>
    </row>
    <row r="961" spans="5:18" x14ac:dyDescent="0.25">
      <c r="E961" t="s">
        <v>2</v>
      </c>
      <c r="F961" t="s">
        <v>3</v>
      </c>
      <c r="G961" t="s">
        <v>1</v>
      </c>
      <c r="H961" t="s">
        <v>4</v>
      </c>
      <c r="I961" t="s">
        <v>18</v>
      </c>
      <c r="J961" t="s">
        <v>19</v>
      </c>
      <c r="K961" t="s">
        <v>0</v>
      </c>
      <c r="L961" t="s">
        <v>5</v>
      </c>
      <c r="M961" t="s">
        <v>382</v>
      </c>
      <c r="N961" t="s">
        <v>384</v>
      </c>
      <c r="O961" t="s">
        <v>385</v>
      </c>
      <c r="P961" t="s">
        <v>386</v>
      </c>
      <c r="R961" t="s">
        <v>433</v>
      </c>
    </row>
    <row r="962" spans="5:18" x14ac:dyDescent="0.25">
      <c r="E962" t="s">
        <v>210</v>
      </c>
      <c r="F962" t="s">
        <v>48</v>
      </c>
      <c r="G962" t="s">
        <v>216</v>
      </c>
      <c r="H962" t="s">
        <v>6</v>
      </c>
      <c r="I962" t="s">
        <v>223</v>
      </c>
      <c r="J962" t="s">
        <v>54</v>
      </c>
      <c r="K962" t="s">
        <v>258</v>
      </c>
      <c r="L962" t="s">
        <v>96</v>
      </c>
      <c r="M962" t="s">
        <v>437</v>
      </c>
      <c r="N962" t="s">
        <v>409</v>
      </c>
      <c r="O962" t="s">
        <v>437</v>
      </c>
      <c r="P962" t="s">
        <v>409</v>
      </c>
      <c r="R962" t="s">
        <v>434</v>
      </c>
    </row>
    <row r="963" spans="5:18" x14ac:dyDescent="0.25">
      <c r="E963" t="s">
        <v>211</v>
      </c>
      <c r="F963" t="s">
        <v>49</v>
      </c>
      <c r="G963" t="s">
        <v>217</v>
      </c>
      <c r="H963" t="s">
        <v>7</v>
      </c>
      <c r="I963" t="s">
        <v>224</v>
      </c>
      <c r="J963" t="s">
        <v>62</v>
      </c>
      <c r="K963" t="s">
        <v>259</v>
      </c>
      <c r="L963" t="s">
        <v>97</v>
      </c>
      <c r="M963" t="s">
        <v>438</v>
      </c>
      <c r="N963" t="s">
        <v>413</v>
      </c>
      <c r="O963" t="s">
        <v>438</v>
      </c>
      <c r="P963" t="s">
        <v>413</v>
      </c>
      <c r="R963" t="s">
        <v>436</v>
      </c>
    </row>
    <row r="964" spans="5:18" x14ac:dyDescent="0.25">
      <c r="E964" t="s">
        <v>212</v>
      </c>
      <c r="F964" t="s">
        <v>50</v>
      </c>
      <c r="G964" t="s">
        <v>218</v>
      </c>
      <c r="H964" t="s">
        <v>16</v>
      </c>
      <c r="I964" t="s">
        <v>225</v>
      </c>
      <c r="J964" t="s">
        <v>55</v>
      </c>
      <c r="K964" t="s">
        <v>260</v>
      </c>
      <c r="L964" t="s">
        <v>98</v>
      </c>
      <c r="M964" t="s">
        <v>439</v>
      </c>
      <c r="N964" t="s">
        <v>410</v>
      </c>
      <c r="O964" t="s">
        <v>439</v>
      </c>
      <c r="P964" t="s">
        <v>410</v>
      </c>
      <c r="R964" t="s">
        <v>435</v>
      </c>
    </row>
    <row r="965" spans="5:18" x14ac:dyDescent="0.25">
      <c r="E965" t="s">
        <v>213</v>
      </c>
      <c r="F965" t="s">
        <v>51</v>
      </c>
      <c r="G965" t="s">
        <v>219</v>
      </c>
      <c r="H965" t="s">
        <v>17</v>
      </c>
      <c r="I965" t="s">
        <v>226</v>
      </c>
      <c r="J965" t="s">
        <v>63</v>
      </c>
      <c r="K965" t="s">
        <v>261</v>
      </c>
      <c r="L965" t="s">
        <v>99</v>
      </c>
      <c r="M965" t="s">
        <v>440</v>
      </c>
      <c r="N965" t="s">
        <v>411</v>
      </c>
      <c r="O965" t="s">
        <v>440</v>
      </c>
      <c r="P965" t="s">
        <v>411</v>
      </c>
      <c r="R965" t="s">
        <v>583</v>
      </c>
    </row>
    <row r="966" spans="5:18" x14ac:dyDescent="0.25">
      <c r="E966" t="s">
        <v>214</v>
      </c>
      <c r="F966" t="s">
        <v>52</v>
      </c>
      <c r="G966" t="s">
        <v>220</v>
      </c>
      <c r="H966" t="s">
        <v>10</v>
      </c>
      <c r="I966" t="s">
        <v>227</v>
      </c>
      <c r="J966" t="s">
        <v>64</v>
      </c>
      <c r="K966" t="s">
        <v>262</v>
      </c>
      <c r="L966" t="s">
        <v>32</v>
      </c>
      <c r="M966" t="s">
        <v>441</v>
      </c>
      <c r="N966" t="s">
        <v>412</v>
      </c>
      <c r="O966" t="s">
        <v>441</v>
      </c>
      <c r="P966" t="s">
        <v>412</v>
      </c>
      <c r="R966" t="s">
        <v>643</v>
      </c>
    </row>
    <row r="967" spans="5:18" x14ac:dyDescent="0.25">
      <c r="E967" t="s">
        <v>215</v>
      </c>
      <c r="F967" t="s">
        <v>53</v>
      </c>
      <c r="G967" t="s">
        <v>221</v>
      </c>
      <c r="H967" t="s">
        <v>11</v>
      </c>
      <c r="I967" t="s">
        <v>228</v>
      </c>
      <c r="J967" t="s">
        <v>65</v>
      </c>
      <c r="K967" t="s">
        <v>263</v>
      </c>
      <c r="L967" t="s">
        <v>100</v>
      </c>
      <c r="M967" t="s">
        <v>442</v>
      </c>
      <c r="N967" t="s">
        <v>408</v>
      </c>
      <c r="O967" t="s">
        <v>442</v>
      </c>
      <c r="P967" t="s">
        <v>408</v>
      </c>
      <c r="R967" t="s">
        <v>702</v>
      </c>
    </row>
    <row r="968" spans="5:18" x14ac:dyDescent="0.25">
      <c r="G968" t="s">
        <v>222</v>
      </c>
      <c r="H968" t="s">
        <v>8</v>
      </c>
      <c r="I968" t="s">
        <v>229</v>
      </c>
      <c r="J968" t="s">
        <v>56</v>
      </c>
      <c r="K968" t="s">
        <v>264</v>
      </c>
      <c r="L968" t="s">
        <v>101</v>
      </c>
      <c r="M968" t="s">
        <v>443</v>
      </c>
      <c r="N968" t="s">
        <v>405</v>
      </c>
      <c r="O968" t="s">
        <v>443</v>
      </c>
      <c r="P968" t="s">
        <v>405</v>
      </c>
      <c r="R968" t="s">
        <v>763</v>
      </c>
    </row>
    <row r="969" spans="5:18" x14ac:dyDescent="0.25">
      <c r="G969" t="s">
        <v>20</v>
      </c>
      <c r="H969" t="s">
        <v>9</v>
      </c>
      <c r="I969" t="s">
        <v>230</v>
      </c>
      <c r="J969" t="s">
        <v>67</v>
      </c>
      <c r="K969" t="s">
        <v>265</v>
      </c>
      <c r="L969" t="s">
        <v>27</v>
      </c>
      <c r="M969" t="s">
        <v>444</v>
      </c>
      <c r="N969" t="s">
        <v>406</v>
      </c>
      <c r="O969" t="s">
        <v>444</v>
      </c>
      <c r="P969" t="s">
        <v>406</v>
      </c>
      <c r="R969" t="s">
        <v>762</v>
      </c>
    </row>
    <row r="970" spans="5:18" x14ac:dyDescent="0.25">
      <c r="G970" t="s">
        <v>21</v>
      </c>
      <c r="H970" t="s">
        <v>12</v>
      </c>
      <c r="I970" t="s">
        <v>231</v>
      </c>
      <c r="J970" t="s">
        <v>66</v>
      </c>
      <c r="K970" t="s">
        <v>266</v>
      </c>
      <c r="L970" t="s">
        <v>102</v>
      </c>
      <c r="M970" t="s">
        <v>445</v>
      </c>
      <c r="N970" t="s">
        <v>407</v>
      </c>
      <c r="O970" t="s">
        <v>445</v>
      </c>
      <c r="P970" t="s">
        <v>407</v>
      </c>
      <c r="R970" t="s">
        <v>753</v>
      </c>
    </row>
    <row r="971" spans="5:18" x14ac:dyDescent="0.25">
      <c r="G971" t="s">
        <v>22</v>
      </c>
      <c r="H971" t="s">
        <v>13</v>
      </c>
      <c r="I971" t="s">
        <v>232</v>
      </c>
      <c r="J971" t="s">
        <v>68</v>
      </c>
      <c r="K971" t="s">
        <v>267</v>
      </c>
      <c r="L971" t="s">
        <v>103</v>
      </c>
      <c r="M971" t="s">
        <v>446</v>
      </c>
      <c r="N971" t="s">
        <v>399</v>
      </c>
      <c r="O971" t="s">
        <v>446</v>
      </c>
      <c r="P971" t="s">
        <v>399</v>
      </c>
    </row>
    <row r="972" spans="5:18" x14ac:dyDescent="0.25">
      <c r="G972" t="s">
        <v>23</v>
      </c>
      <c r="H972" t="s">
        <v>14</v>
      </c>
      <c r="I972" t="s">
        <v>233</v>
      </c>
      <c r="J972" t="s">
        <v>70</v>
      </c>
      <c r="K972" t="s">
        <v>268</v>
      </c>
      <c r="L972" t="s">
        <v>104</v>
      </c>
      <c r="M972" t="s">
        <v>447</v>
      </c>
      <c r="N972" t="s">
        <v>404</v>
      </c>
      <c r="O972" t="s">
        <v>447</v>
      </c>
      <c r="P972" t="s">
        <v>404</v>
      </c>
    </row>
    <row r="973" spans="5:18" x14ac:dyDescent="0.25">
      <c r="G973" t="s">
        <v>24</v>
      </c>
      <c r="H973" t="s">
        <v>15</v>
      </c>
      <c r="I973" t="s">
        <v>234</v>
      </c>
      <c r="J973" t="s">
        <v>71</v>
      </c>
      <c r="K973" t="s">
        <v>269</v>
      </c>
      <c r="L973" t="s">
        <v>105</v>
      </c>
      <c r="M973" t="s">
        <v>448</v>
      </c>
      <c r="N973" t="s">
        <v>403</v>
      </c>
      <c r="O973" t="s">
        <v>448</v>
      </c>
      <c r="P973" t="s">
        <v>403</v>
      </c>
    </row>
    <row r="974" spans="5:18" x14ac:dyDescent="0.25">
      <c r="G974" t="s">
        <v>29</v>
      </c>
      <c r="H974" t="s">
        <v>25</v>
      </c>
      <c r="I974" t="s">
        <v>235</v>
      </c>
      <c r="J974" t="s">
        <v>73</v>
      </c>
      <c r="K974" t="s">
        <v>270</v>
      </c>
      <c r="L974" t="s">
        <v>106</v>
      </c>
      <c r="M974" t="s">
        <v>449</v>
      </c>
      <c r="N974" t="s">
        <v>402</v>
      </c>
      <c r="O974" t="s">
        <v>449</v>
      </c>
      <c r="P974" t="s">
        <v>402</v>
      </c>
    </row>
    <row r="975" spans="5:18" x14ac:dyDescent="0.25">
      <c r="G975" t="s">
        <v>39</v>
      </c>
      <c r="H975" t="s">
        <v>28</v>
      </c>
      <c r="I975" t="s">
        <v>236</v>
      </c>
      <c r="J975" t="s">
        <v>74</v>
      </c>
      <c r="K975" t="s">
        <v>271</v>
      </c>
      <c r="L975" t="s">
        <v>107</v>
      </c>
      <c r="M975" t="s">
        <v>450</v>
      </c>
      <c r="N975" t="s">
        <v>400</v>
      </c>
      <c r="O975" t="s">
        <v>450</v>
      </c>
      <c r="P975" t="s">
        <v>400</v>
      </c>
    </row>
    <row r="976" spans="5:18" x14ac:dyDescent="0.25">
      <c r="G976" t="s">
        <v>40</v>
      </c>
      <c r="H976" t="s">
        <v>30</v>
      </c>
      <c r="I976" t="s">
        <v>237</v>
      </c>
      <c r="J976" t="s">
        <v>59</v>
      </c>
      <c r="K976" t="s">
        <v>272</v>
      </c>
      <c r="L976" t="s">
        <v>108</v>
      </c>
      <c r="M976" t="s">
        <v>451</v>
      </c>
      <c r="N976" t="s">
        <v>401</v>
      </c>
      <c r="O976" t="s">
        <v>451</v>
      </c>
      <c r="P976" t="s">
        <v>401</v>
      </c>
    </row>
    <row r="977" spans="7:16" x14ac:dyDescent="0.25">
      <c r="G977" t="s">
        <v>41</v>
      </c>
      <c r="H977" t="s">
        <v>33</v>
      </c>
      <c r="I977" t="s">
        <v>238</v>
      </c>
      <c r="J977" t="s">
        <v>75</v>
      </c>
      <c r="K977" t="s">
        <v>273</v>
      </c>
      <c r="L977" t="s">
        <v>109</v>
      </c>
      <c r="M977" t="s">
        <v>452</v>
      </c>
      <c r="N977" t="s">
        <v>388</v>
      </c>
      <c r="O977" t="s">
        <v>452</v>
      </c>
      <c r="P977" t="s">
        <v>388</v>
      </c>
    </row>
    <row r="978" spans="7:16" x14ac:dyDescent="0.25">
      <c r="G978" t="s">
        <v>42</v>
      </c>
      <c r="H978" t="s">
        <v>34</v>
      </c>
      <c r="I978" t="s">
        <v>239</v>
      </c>
      <c r="J978" t="s">
        <v>76</v>
      </c>
      <c r="K978" t="s">
        <v>274</v>
      </c>
      <c r="L978" t="s">
        <v>110</v>
      </c>
      <c r="M978" t="s">
        <v>453</v>
      </c>
      <c r="N978" t="s">
        <v>395</v>
      </c>
      <c r="O978" t="s">
        <v>453</v>
      </c>
      <c r="P978" t="s">
        <v>395</v>
      </c>
    </row>
    <row r="979" spans="7:16" x14ac:dyDescent="0.25">
      <c r="G979" t="s">
        <v>43</v>
      </c>
      <c r="H979" t="s">
        <v>35</v>
      </c>
      <c r="I979" t="s">
        <v>240</v>
      </c>
      <c r="J979" t="s">
        <v>79</v>
      </c>
      <c r="K979" t="s">
        <v>275</v>
      </c>
      <c r="L979" t="s">
        <v>111</v>
      </c>
      <c r="M979" t="s">
        <v>454</v>
      </c>
      <c r="N979" t="s">
        <v>393</v>
      </c>
      <c r="O979" t="s">
        <v>454</v>
      </c>
      <c r="P979" t="s">
        <v>393</v>
      </c>
    </row>
    <row r="980" spans="7:16" x14ac:dyDescent="0.25">
      <c r="G980" t="s">
        <v>44</v>
      </c>
      <c r="H980" t="s">
        <v>36</v>
      </c>
      <c r="I980" t="s">
        <v>241</v>
      </c>
      <c r="J980" t="s">
        <v>80</v>
      </c>
      <c r="K980" t="s">
        <v>276</v>
      </c>
      <c r="L980" t="s">
        <v>112</v>
      </c>
      <c r="M980" t="s">
        <v>455</v>
      </c>
      <c r="N980" t="s">
        <v>390</v>
      </c>
      <c r="O980" t="s">
        <v>455</v>
      </c>
      <c r="P980" t="s">
        <v>390</v>
      </c>
    </row>
    <row r="981" spans="7:16" x14ac:dyDescent="0.25">
      <c r="G981" t="s">
        <v>45</v>
      </c>
      <c r="H981" t="s">
        <v>37</v>
      </c>
      <c r="I981" t="s">
        <v>242</v>
      </c>
      <c r="J981" t="s">
        <v>81</v>
      </c>
      <c r="K981" t="s">
        <v>277</v>
      </c>
      <c r="L981" t="s">
        <v>113</v>
      </c>
      <c r="M981" t="s">
        <v>456</v>
      </c>
      <c r="N981" t="s">
        <v>389</v>
      </c>
      <c r="O981" t="s">
        <v>456</v>
      </c>
      <c r="P981" t="s">
        <v>389</v>
      </c>
    </row>
    <row r="982" spans="7:16" x14ac:dyDescent="0.25">
      <c r="G982" t="s">
        <v>46</v>
      </c>
      <c r="H982" t="s">
        <v>38</v>
      </c>
      <c r="I982" t="s">
        <v>243</v>
      </c>
      <c r="J982" t="s">
        <v>83</v>
      </c>
      <c r="K982" t="s">
        <v>278</v>
      </c>
      <c r="L982" t="s">
        <v>114</v>
      </c>
      <c r="M982" t="s">
        <v>457</v>
      </c>
      <c r="N982" t="s">
        <v>391</v>
      </c>
      <c r="O982" t="s">
        <v>457</v>
      </c>
      <c r="P982" t="s">
        <v>391</v>
      </c>
    </row>
    <row r="983" spans="7:16" x14ac:dyDescent="0.25">
      <c r="G983" t="s">
        <v>47</v>
      </c>
      <c r="H983" t="s">
        <v>31</v>
      </c>
      <c r="I983" t="s">
        <v>244</v>
      </c>
      <c r="J983" t="s">
        <v>84</v>
      </c>
      <c r="K983" t="s">
        <v>279</v>
      </c>
      <c r="L983" t="s">
        <v>57</v>
      </c>
      <c r="M983" t="s">
        <v>458</v>
      </c>
      <c r="N983" t="s">
        <v>392</v>
      </c>
      <c r="O983" t="s">
        <v>458</v>
      </c>
      <c r="P983" t="s">
        <v>392</v>
      </c>
    </row>
    <row r="984" spans="7:16" x14ac:dyDescent="0.25">
      <c r="I984" t="s">
        <v>245</v>
      </c>
      <c r="J984" t="s">
        <v>82</v>
      </c>
      <c r="K984" t="s">
        <v>280</v>
      </c>
      <c r="L984" t="s">
        <v>115</v>
      </c>
      <c r="M984" t="s">
        <v>459</v>
      </c>
      <c r="N984" t="s">
        <v>394</v>
      </c>
      <c r="O984" t="s">
        <v>459</v>
      </c>
      <c r="P984" t="s">
        <v>394</v>
      </c>
    </row>
    <row r="985" spans="7:16" x14ac:dyDescent="0.25">
      <c r="I985" t="s">
        <v>246</v>
      </c>
      <c r="J985" t="s">
        <v>85</v>
      </c>
      <c r="K985" t="s">
        <v>281</v>
      </c>
      <c r="L985" t="s">
        <v>116</v>
      </c>
      <c r="M985" t="s">
        <v>460</v>
      </c>
      <c r="N985" t="s">
        <v>396</v>
      </c>
      <c r="O985" t="s">
        <v>460</v>
      </c>
      <c r="P985" t="s">
        <v>396</v>
      </c>
    </row>
    <row r="986" spans="7:16" x14ac:dyDescent="0.25">
      <c r="I986" t="s">
        <v>247</v>
      </c>
      <c r="J986" t="s">
        <v>86</v>
      </c>
      <c r="K986" t="s">
        <v>282</v>
      </c>
      <c r="L986" t="s">
        <v>117</v>
      </c>
      <c r="M986" t="s">
        <v>461</v>
      </c>
      <c r="N986" t="s">
        <v>397</v>
      </c>
      <c r="O986" t="s">
        <v>461</v>
      </c>
      <c r="P986" t="s">
        <v>397</v>
      </c>
    </row>
    <row r="987" spans="7:16" x14ac:dyDescent="0.25">
      <c r="I987" t="s">
        <v>248</v>
      </c>
      <c r="J987" t="s">
        <v>87</v>
      </c>
      <c r="K987" t="s">
        <v>283</v>
      </c>
      <c r="L987" t="s">
        <v>118</v>
      </c>
      <c r="M987" t="s">
        <v>462</v>
      </c>
      <c r="N987" t="s">
        <v>398</v>
      </c>
      <c r="O987" t="s">
        <v>462</v>
      </c>
      <c r="P987" t="s">
        <v>398</v>
      </c>
    </row>
    <row r="988" spans="7:16" x14ac:dyDescent="0.25">
      <c r="I988" t="s">
        <v>249</v>
      </c>
      <c r="J988" t="s">
        <v>61</v>
      </c>
      <c r="K988" t="s">
        <v>284</v>
      </c>
      <c r="L988" t="s">
        <v>119</v>
      </c>
      <c r="M988" t="s">
        <v>563</v>
      </c>
      <c r="N988" t="s">
        <v>564</v>
      </c>
      <c r="O988" t="s">
        <v>563</v>
      </c>
      <c r="P988" t="s">
        <v>564</v>
      </c>
    </row>
    <row r="989" spans="7:16" x14ac:dyDescent="0.25">
      <c r="I989" t="s">
        <v>250</v>
      </c>
      <c r="J989" t="s">
        <v>89</v>
      </c>
      <c r="K989" t="s">
        <v>285</v>
      </c>
      <c r="L989" t="s">
        <v>120</v>
      </c>
    </row>
    <row r="990" spans="7:16" x14ac:dyDescent="0.25">
      <c r="I990" t="s">
        <v>251</v>
      </c>
      <c r="J990" t="s">
        <v>90</v>
      </c>
      <c r="K990" t="s">
        <v>286</v>
      </c>
      <c r="L990" t="s">
        <v>121</v>
      </c>
    </row>
    <row r="991" spans="7:16" x14ac:dyDescent="0.25">
      <c r="I991" t="s">
        <v>252</v>
      </c>
      <c r="J991" t="s">
        <v>88</v>
      </c>
      <c r="K991" t="s">
        <v>287</v>
      </c>
      <c r="L991" t="s">
        <v>122</v>
      </c>
    </row>
    <row r="992" spans="7:16" x14ac:dyDescent="0.25">
      <c r="I992" t="s">
        <v>253</v>
      </c>
      <c r="J992" t="s">
        <v>91</v>
      </c>
      <c r="K992" t="s">
        <v>288</v>
      </c>
      <c r="L992" t="s">
        <v>123</v>
      </c>
    </row>
    <row r="993" spans="9:12" x14ac:dyDescent="0.25">
      <c r="I993" t="s">
        <v>254</v>
      </c>
      <c r="J993" t="s">
        <v>208</v>
      </c>
      <c r="K993" t="s">
        <v>289</v>
      </c>
      <c r="L993" t="s">
        <v>124</v>
      </c>
    </row>
    <row r="994" spans="9:12" x14ac:dyDescent="0.25">
      <c r="I994" t="s">
        <v>255</v>
      </c>
      <c r="J994" t="s">
        <v>209</v>
      </c>
      <c r="K994" t="s">
        <v>290</v>
      </c>
      <c r="L994" t="s">
        <v>125</v>
      </c>
    </row>
    <row r="995" spans="9:12" x14ac:dyDescent="0.25">
      <c r="I995" t="s">
        <v>256</v>
      </c>
      <c r="J995" t="s">
        <v>94</v>
      </c>
      <c r="K995" t="s">
        <v>291</v>
      </c>
      <c r="L995" t="s">
        <v>126</v>
      </c>
    </row>
    <row r="996" spans="9:12" x14ac:dyDescent="0.25">
      <c r="I996" t="s">
        <v>257</v>
      </c>
      <c r="J996" t="s">
        <v>92</v>
      </c>
      <c r="K996" t="s">
        <v>292</v>
      </c>
      <c r="L996" t="s">
        <v>127</v>
      </c>
    </row>
    <row r="997" spans="9:12" x14ac:dyDescent="0.25">
      <c r="K997" t="s">
        <v>293</v>
      </c>
      <c r="L997" t="s">
        <v>58</v>
      </c>
    </row>
    <row r="998" spans="9:12" x14ac:dyDescent="0.25">
      <c r="K998" t="s">
        <v>294</v>
      </c>
      <c r="L998" t="s">
        <v>128</v>
      </c>
    </row>
    <row r="999" spans="9:12" x14ac:dyDescent="0.25">
      <c r="K999" t="s">
        <v>295</v>
      </c>
      <c r="L999" t="s">
        <v>129</v>
      </c>
    </row>
    <row r="1000" spans="9:12" x14ac:dyDescent="0.25">
      <c r="K1000" t="s">
        <v>296</v>
      </c>
      <c r="L1000" t="s">
        <v>130</v>
      </c>
    </row>
    <row r="1001" spans="9:12" x14ac:dyDescent="0.25">
      <c r="K1001" t="s">
        <v>297</v>
      </c>
      <c r="L1001" t="s">
        <v>131</v>
      </c>
    </row>
    <row r="1002" spans="9:12" x14ac:dyDescent="0.25">
      <c r="K1002" t="s">
        <v>298</v>
      </c>
      <c r="L1002" t="s">
        <v>132</v>
      </c>
    </row>
    <row r="1003" spans="9:12" x14ac:dyDescent="0.25">
      <c r="K1003" t="s">
        <v>299</v>
      </c>
      <c r="L1003" t="s">
        <v>133</v>
      </c>
    </row>
    <row r="1004" spans="9:12" x14ac:dyDescent="0.25">
      <c r="K1004" t="s">
        <v>300</v>
      </c>
      <c r="L1004" t="s">
        <v>134</v>
      </c>
    </row>
    <row r="1005" spans="9:12" x14ac:dyDescent="0.25">
      <c r="K1005" t="s">
        <v>301</v>
      </c>
      <c r="L1005" t="s">
        <v>135</v>
      </c>
    </row>
    <row r="1006" spans="9:12" x14ac:dyDescent="0.25">
      <c r="K1006" t="s">
        <v>302</v>
      </c>
      <c r="L1006" t="s">
        <v>69</v>
      </c>
    </row>
    <row r="1007" spans="9:12" x14ac:dyDescent="0.25">
      <c r="K1007" t="s">
        <v>303</v>
      </c>
      <c r="L1007" t="s">
        <v>136</v>
      </c>
    </row>
    <row r="1008" spans="9:12" x14ac:dyDescent="0.25">
      <c r="K1008" t="s">
        <v>304</v>
      </c>
      <c r="L1008" t="s">
        <v>137</v>
      </c>
    </row>
    <row r="1009" spans="11:12" x14ac:dyDescent="0.25">
      <c r="K1009" t="s">
        <v>305</v>
      </c>
      <c r="L1009" t="s">
        <v>138</v>
      </c>
    </row>
    <row r="1010" spans="11:12" x14ac:dyDescent="0.25">
      <c r="K1010" t="s">
        <v>306</v>
      </c>
      <c r="L1010" t="s">
        <v>139</v>
      </c>
    </row>
    <row r="1011" spans="11:12" x14ac:dyDescent="0.25">
      <c r="K1011" t="s">
        <v>307</v>
      </c>
      <c r="L1011" t="s">
        <v>140</v>
      </c>
    </row>
    <row r="1012" spans="11:12" x14ac:dyDescent="0.25">
      <c r="K1012" t="s">
        <v>308</v>
      </c>
      <c r="L1012" t="s">
        <v>141</v>
      </c>
    </row>
    <row r="1013" spans="11:12" x14ac:dyDescent="0.25">
      <c r="K1013" t="s">
        <v>309</v>
      </c>
      <c r="L1013" t="s">
        <v>142</v>
      </c>
    </row>
    <row r="1014" spans="11:12" x14ac:dyDescent="0.25">
      <c r="K1014" t="s">
        <v>310</v>
      </c>
      <c r="L1014" t="s">
        <v>78</v>
      </c>
    </row>
    <row r="1015" spans="11:12" x14ac:dyDescent="0.25">
      <c r="K1015" t="s">
        <v>311</v>
      </c>
      <c r="L1015" t="s">
        <v>77</v>
      </c>
    </row>
    <row r="1016" spans="11:12" x14ac:dyDescent="0.25">
      <c r="K1016" t="s">
        <v>312</v>
      </c>
      <c r="L1016" t="s">
        <v>143</v>
      </c>
    </row>
    <row r="1017" spans="11:12" x14ac:dyDescent="0.25">
      <c r="K1017" t="s">
        <v>313</v>
      </c>
      <c r="L1017" t="s">
        <v>144</v>
      </c>
    </row>
    <row r="1018" spans="11:12" x14ac:dyDescent="0.25">
      <c r="K1018" t="s">
        <v>314</v>
      </c>
      <c r="L1018" t="s">
        <v>145</v>
      </c>
    </row>
    <row r="1019" spans="11:12" x14ac:dyDescent="0.25">
      <c r="K1019" t="s">
        <v>315</v>
      </c>
      <c r="L1019" t="s">
        <v>146</v>
      </c>
    </row>
    <row r="1020" spans="11:12" x14ac:dyDescent="0.25">
      <c r="K1020" t="s">
        <v>316</v>
      </c>
      <c r="L1020" t="s">
        <v>147</v>
      </c>
    </row>
    <row r="1021" spans="11:12" x14ac:dyDescent="0.25">
      <c r="K1021" t="s">
        <v>317</v>
      </c>
      <c r="L1021" t="s">
        <v>148</v>
      </c>
    </row>
    <row r="1022" spans="11:12" x14ac:dyDescent="0.25">
      <c r="K1022" t="s">
        <v>318</v>
      </c>
      <c r="L1022" t="s">
        <v>93</v>
      </c>
    </row>
    <row r="1023" spans="11:12" x14ac:dyDescent="0.25">
      <c r="K1023" t="s">
        <v>319</v>
      </c>
      <c r="L1023" t="s">
        <v>149</v>
      </c>
    </row>
    <row r="1024" spans="11:12" x14ac:dyDescent="0.25">
      <c r="K1024" t="s">
        <v>320</v>
      </c>
      <c r="L1024" t="s">
        <v>72</v>
      </c>
    </row>
    <row r="1025" spans="11:12" x14ac:dyDescent="0.25">
      <c r="K1025" t="s">
        <v>321</v>
      </c>
      <c r="L1025" t="s">
        <v>150</v>
      </c>
    </row>
    <row r="1026" spans="11:12" x14ac:dyDescent="0.25">
      <c r="K1026" t="s">
        <v>322</v>
      </c>
      <c r="L1026" t="s">
        <v>151</v>
      </c>
    </row>
    <row r="1027" spans="11:12" x14ac:dyDescent="0.25">
      <c r="K1027" t="s">
        <v>323</v>
      </c>
      <c r="L1027" t="s">
        <v>152</v>
      </c>
    </row>
    <row r="1028" spans="11:12" x14ac:dyDescent="0.25">
      <c r="K1028" t="s">
        <v>324</v>
      </c>
      <c r="L1028" t="s">
        <v>153</v>
      </c>
    </row>
    <row r="1029" spans="11:12" x14ac:dyDescent="0.25">
      <c r="K1029" t="s">
        <v>325</v>
      </c>
      <c r="L1029" t="s">
        <v>154</v>
      </c>
    </row>
    <row r="1030" spans="11:12" x14ac:dyDescent="0.25">
      <c r="K1030" t="s">
        <v>326</v>
      </c>
      <c r="L1030" t="s">
        <v>155</v>
      </c>
    </row>
    <row r="1031" spans="11:12" x14ac:dyDescent="0.25">
      <c r="K1031" t="s">
        <v>327</v>
      </c>
      <c r="L1031" t="s">
        <v>156</v>
      </c>
    </row>
    <row r="1032" spans="11:12" x14ac:dyDescent="0.25">
      <c r="K1032" t="s">
        <v>328</v>
      </c>
      <c r="L1032" t="s">
        <v>157</v>
      </c>
    </row>
    <row r="1033" spans="11:12" x14ac:dyDescent="0.25">
      <c r="K1033" t="s">
        <v>329</v>
      </c>
      <c r="L1033" t="s">
        <v>158</v>
      </c>
    </row>
    <row r="1034" spans="11:12" x14ac:dyDescent="0.25">
      <c r="K1034" t="s">
        <v>330</v>
      </c>
      <c r="L1034" t="s">
        <v>159</v>
      </c>
    </row>
    <row r="1035" spans="11:12" x14ac:dyDescent="0.25">
      <c r="K1035" t="s">
        <v>331</v>
      </c>
      <c r="L1035" t="s">
        <v>160</v>
      </c>
    </row>
    <row r="1036" spans="11:12" x14ac:dyDescent="0.25">
      <c r="K1036" t="s">
        <v>332</v>
      </c>
      <c r="L1036" t="s">
        <v>161</v>
      </c>
    </row>
    <row r="1037" spans="11:12" x14ac:dyDescent="0.25">
      <c r="K1037" t="s">
        <v>333</v>
      </c>
      <c r="L1037" t="s">
        <v>162</v>
      </c>
    </row>
    <row r="1038" spans="11:12" x14ac:dyDescent="0.25">
      <c r="K1038" t="s">
        <v>334</v>
      </c>
      <c r="L1038" t="s">
        <v>163</v>
      </c>
    </row>
    <row r="1039" spans="11:12" x14ac:dyDescent="0.25">
      <c r="K1039" t="s">
        <v>335</v>
      </c>
      <c r="L1039" t="s">
        <v>164</v>
      </c>
    </row>
    <row r="1040" spans="11:12" x14ac:dyDescent="0.25">
      <c r="K1040" t="s">
        <v>336</v>
      </c>
      <c r="L1040" t="s">
        <v>165</v>
      </c>
    </row>
    <row r="1041" spans="11:12" x14ac:dyDescent="0.25">
      <c r="K1041" t="s">
        <v>337</v>
      </c>
      <c r="L1041" t="s">
        <v>166</v>
      </c>
    </row>
    <row r="1042" spans="11:12" x14ac:dyDescent="0.25">
      <c r="K1042" t="s">
        <v>338</v>
      </c>
      <c r="L1042" t="s">
        <v>167</v>
      </c>
    </row>
    <row r="1043" spans="11:12" x14ac:dyDescent="0.25">
      <c r="K1043" t="s">
        <v>339</v>
      </c>
      <c r="L1043" t="s">
        <v>168</v>
      </c>
    </row>
    <row r="1044" spans="11:12" x14ac:dyDescent="0.25">
      <c r="K1044" t="s">
        <v>340</v>
      </c>
      <c r="L1044" t="s">
        <v>169</v>
      </c>
    </row>
    <row r="1045" spans="11:12" x14ac:dyDescent="0.25">
      <c r="K1045" t="s">
        <v>341</v>
      </c>
      <c r="L1045" t="s">
        <v>170</v>
      </c>
    </row>
    <row r="1046" spans="11:12" x14ac:dyDescent="0.25">
      <c r="K1046" t="s">
        <v>342</v>
      </c>
      <c r="L1046" t="s">
        <v>171</v>
      </c>
    </row>
    <row r="1047" spans="11:12" x14ac:dyDescent="0.25">
      <c r="K1047" t="s">
        <v>343</v>
      </c>
      <c r="L1047" t="s">
        <v>172</v>
      </c>
    </row>
    <row r="1048" spans="11:12" x14ac:dyDescent="0.25">
      <c r="K1048" t="s">
        <v>344</v>
      </c>
      <c r="L1048" t="s">
        <v>173</v>
      </c>
    </row>
    <row r="1049" spans="11:12" x14ac:dyDescent="0.25">
      <c r="K1049" t="s">
        <v>345</v>
      </c>
      <c r="L1049" t="s">
        <v>174</v>
      </c>
    </row>
    <row r="1050" spans="11:12" x14ac:dyDescent="0.25">
      <c r="K1050" t="s">
        <v>346</v>
      </c>
      <c r="L1050" t="s">
        <v>175</v>
      </c>
    </row>
    <row r="1051" spans="11:12" x14ac:dyDescent="0.25">
      <c r="K1051" t="s">
        <v>347</v>
      </c>
      <c r="L1051" t="s">
        <v>60</v>
      </c>
    </row>
    <row r="1052" spans="11:12" x14ac:dyDescent="0.25">
      <c r="K1052" t="s">
        <v>348</v>
      </c>
      <c r="L1052" t="s">
        <v>176</v>
      </c>
    </row>
    <row r="1053" spans="11:12" x14ac:dyDescent="0.25">
      <c r="K1053" t="s">
        <v>349</v>
      </c>
      <c r="L1053" t="s">
        <v>177</v>
      </c>
    </row>
    <row r="1054" spans="11:12" x14ac:dyDescent="0.25">
      <c r="K1054" t="s">
        <v>350</v>
      </c>
      <c r="L1054" t="s">
        <v>178</v>
      </c>
    </row>
    <row r="1055" spans="11:12" x14ac:dyDescent="0.25">
      <c r="K1055" t="s">
        <v>351</v>
      </c>
      <c r="L1055" t="s">
        <v>179</v>
      </c>
    </row>
    <row r="1056" spans="11:12" x14ac:dyDescent="0.25">
      <c r="K1056" t="s">
        <v>352</v>
      </c>
      <c r="L1056" t="s">
        <v>180</v>
      </c>
    </row>
    <row r="1057" spans="11:12" x14ac:dyDescent="0.25">
      <c r="K1057" t="s">
        <v>353</v>
      </c>
      <c r="L1057" t="s">
        <v>181</v>
      </c>
    </row>
    <row r="1058" spans="11:12" x14ac:dyDescent="0.25">
      <c r="K1058" t="s">
        <v>354</v>
      </c>
      <c r="L1058" t="s">
        <v>182</v>
      </c>
    </row>
    <row r="1059" spans="11:12" x14ac:dyDescent="0.25">
      <c r="K1059" t="s">
        <v>355</v>
      </c>
      <c r="L1059" t="s">
        <v>183</v>
      </c>
    </row>
    <row r="1060" spans="11:12" x14ac:dyDescent="0.25">
      <c r="K1060" t="s">
        <v>356</v>
      </c>
      <c r="L1060" t="s">
        <v>184</v>
      </c>
    </row>
    <row r="1061" spans="11:12" x14ac:dyDescent="0.25">
      <c r="K1061" t="s">
        <v>357</v>
      </c>
      <c r="L1061" t="s">
        <v>185</v>
      </c>
    </row>
    <row r="1062" spans="11:12" x14ac:dyDescent="0.25">
      <c r="K1062" t="s">
        <v>358</v>
      </c>
      <c r="L1062" t="s">
        <v>186</v>
      </c>
    </row>
    <row r="1063" spans="11:12" x14ac:dyDescent="0.25">
      <c r="K1063" t="s">
        <v>359</v>
      </c>
      <c r="L1063" t="s">
        <v>187</v>
      </c>
    </row>
    <row r="1064" spans="11:12" x14ac:dyDescent="0.25">
      <c r="K1064" t="s">
        <v>360</v>
      </c>
      <c r="L1064" t="s">
        <v>188</v>
      </c>
    </row>
    <row r="1065" spans="11:12" x14ac:dyDescent="0.25">
      <c r="K1065" t="s">
        <v>361</v>
      </c>
      <c r="L1065" t="s">
        <v>189</v>
      </c>
    </row>
    <row r="1066" spans="11:12" x14ac:dyDescent="0.25">
      <c r="K1066" t="s">
        <v>362</v>
      </c>
      <c r="L1066" t="s">
        <v>190</v>
      </c>
    </row>
    <row r="1067" spans="11:12" x14ac:dyDescent="0.25">
      <c r="K1067" t="s">
        <v>363</v>
      </c>
      <c r="L1067" t="s">
        <v>191</v>
      </c>
    </row>
    <row r="1068" spans="11:12" x14ac:dyDescent="0.25">
      <c r="K1068" t="s">
        <v>364</v>
      </c>
      <c r="L1068" t="s">
        <v>192</v>
      </c>
    </row>
    <row r="1069" spans="11:12" x14ac:dyDescent="0.25">
      <c r="K1069" t="s">
        <v>365</v>
      </c>
      <c r="L1069" t="s">
        <v>193</v>
      </c>
    </row>
    <row r="1070" spans="11:12" x14ac:dyDescent="0.25">
      <c r="K1070" t="s">
        <v>366</v>
      </c>
      <c r="L1070" t="s">
        <v>194</v>
      </c>
    </row>
    <row r="1071" spans="11:12" x14ac:dyDescent="0.25">
      <c r="K1071" t="s">
        <v>367</v>
      </c>
      <c r="L1071" t="s">
        <v>26</v>
      </c>
    </row>
    <row r="1072" spans="11:12" x14ac:dyDescent="0.25">
      <c r="K1072" t="s">
        <v>368</v>
      </c>
      <c r="L1072" t="s">
        <v>195</v>
      </c>
    </row>
    <row r="1073" spans="11:12" x14ac:dyDescent="0.25">
      <c r="K1073" t="s">
        <v>369</v>
      </c>
      <c r="L1073" t="s">
        <v>196</v>
      </c>
    </row>
    <row r="1074" spans="11:12" x14ac:dyDescent="0.25">
      <c r="K1074" t="s">
        <v>370</v>
      </c>
      <c r="L1074" t="s">
        <v>197</v>
      </c>
    </row>
    <row r="1075" spans="11:12" x14ac:dyDescent="0.25">
      <c r="K1075" t="s">
        <v>371</v>
      </c>
      <c r="L1075" t="s">
        <v>198</v>
      </c>
    </row>
    <row r="1076" spans="11:12" x14ac:dyDescent="0.25">
      <c r="K1076" t="s">
        <v>372</v>
      </c>
      <c r="L1076" t="s">
        <v>199</v>
      </c>
    </row>
    <row r="1077" spans="11:12" x14ac:dyDescent="0.25">
      <c r="K1077" t="s">
        <v>373</v>
      </c>
      <c r="L1077" t="s">
        <v>200</v>
      </c>
    </row>
    <row r="1078" spans="11:12" x14ac:dyDescent="0.25">
      <c r="K1078" t="s">
        <v>374</v>
      </c>
      <c r="L1078" t="s">
        <v>201</v>
      </c>
    </row>
    <row r="1079" spans="11:12" x14ac:dyDescent="0.25">
      <c r="K1079" t="s">
        <v>375</v>
      </c>
      <c r="L1079" t="s">
        <v>202</v>
      </c>
    </row>
    <row r="1080" spans="11:12" x14ac:dyDescent="0.25">
      <c r="K1080" t="s">
        <v>376</v>
      </c>
      <c r="L1080" t="s">
        <v>203</v>
      </c>
    </row>
    <row r="1081" spans="11:12" x14ac:dyDescent="0.25">
      <c r="K1081" t="s">
        <v>377</v>
      </c>
      <c r="L1081" t="s">
        <v>204</v>
      </c>
    </row>
    <row r="1082" spans="11:12" x14ac:dyDescent="0.25">
      <c r="K1082" t="s">
        <v>378</v>
      </c>
      <c r="L1082" t="s">
        <v>205</v>
      </c>
    </row>
    <row r="1083" spans="11:12" x14ac:dyDescent="0.25">
      <c r="K1083" t="s">
        <v>379</v>
      </c>
      <c r="L1083" t="s">
        <v>206</v>
      </c>
    </row>
    <row r="1084" spans="11:12" x14ac:dyDescent="0.25">
      <c r="K1084" t="s">
        <v>380</v>
      </c>
      <c r="L1084" t="s">
        <v>207</v>
      </c>
    </row>
    <row r="1085" spans="11:12" x14ac:dyDescent="0.25">
      <c r="K1085" t="s">
        <v>381</v>
      </c>
      <c r="L1085" t="s">
        <v>95</v>
      </c>
    </row>
  </sheetData>
  <dataValidations count="36">
    <dataValidation type="list" allowBlank="1" showInputMessage="1" showErrorMessage="1" sqref="K16" xr:uid="{00000000-0002-0000-0600-000000000000}">
      <formula1>$M$990:$M$1016</formula1>
    </dataValidation>
    <dataValidation type="list" allowBlank="1" showInputMessage="1" showErrorMessage="1" sqref="L16" xr:uid="{00000000-0002-0000-0600-000001000000}">
      <formula1>$N$990:$N$1016</formula1>
    </dataValidation>
    <dataValidation type="list" allowBlank="1" showInputMessage="1" showErrorMessage="1" sqref="M16" xr:uid="{00000000-0002-0000-0600-000002000000}">
      <formula1>$O$990:$O$1016</formula1>
    </dataValidation>
    <dataValidation type="list" allowBlank="1" showInputMessage="1" showErrorMessage="1" sqref="J8:J19" xr:uid="{00000000-0002-0000-0600-000003000000}">
      <formula1>$R$962:$R$970</formula1>
    </dataValidation>
    <dataValidation type="list" allowBlank="1" showInputMessage="1" showErrorMessage="1" sqref="N16" xr:uid="{00000000-0002-0000-0600-000004000000}">
      <formula1>$P$990:$P$1016</formula1>
    </dataValidation>
    <dataValidation type="list" allowBlank="1" showInputMessage="1" showErrorMessage="1" sqref="K21" xr:uid="{00000000-0002-0000-0600-000005000000}">
      <formula1>$M$991:$M$1017</formula1>
    </dataValidation>
    <dataValidation type="list" allowBlank="1" showInputMessage="1" showErrorMessage="1" sqref="L21" xr:uid="{00000000-0002-0000-0600-000006000000}">
      <formula1>$N$991:$N$1017</formula1>
    </dataValidation>
    <dataValidation type="list" allowBlank="1" showInputMessage="1" showErrorMessage="1" sqref="M21" xr:uid="{00000000-0002-0000-0600-000007000000}">
      <formula1>$O$991:$O$1017</formula1>
    </dataValidation>
    <dataValidation type="list" allowBlank="1" showInputMessage="1" showErrorMessage="1" sqref="J21" xr:uid="{00000000-0002-0000-0600-000008000000}">
      <formula1>$R$991:$R$994</formula1>
    </dataValidation>
    <dataValidation type="list" allowBlank="1" showInputMessage="1" showErrorMessage="1" sqref="N21" xr:uid="{00000000-0002-0000-0600-000009000000}">
      <formula1>$P$991:$P$1017</formula1>
    </dataValidation>
    <dataValidation type="list" allowBlank="1" showInputMessage="1" showErrorMessage="1" sqref="K3:K4" xr:uid="{00000000-0002-0000-0600-00000A000000}">
      <formula1>$M$992:$M$1018</formula1>
    </dataValidation>
    <dataValidation type="list" allowBlank="1" showInputMessage="1" showErrorMessage="1" sqref="L3:L4" xr:uid="{00000000-0002-0000-0600-00000B000000}">
      <formula1>$N$992:$N$1018</formula1>
    </dataValidation>
    <dataValidation type="list" allowBlank="1" showInputMessage="1" showErrorMessage="1" sqref="M3:M4" xr:uid="{00000000-0002-0000-0600-00000C000000}">
      <formula1>$O$992:$O$1018</formula1>
    </dataValidation>
    <dataValidation type="list" allowBlank="1" showInputMessage="1" showErrorMessage="1" sqref="N3:N4" xr:uid="{00000000-0002-0000-0600-00000D000000}">
      <formula1>$P$993:$P$1018</formula1>
    </dataValidation>
    <dataValidation type="list" allowBlank="1" showInputMessage="1" showErrorMessage="1" sqref="J3:J4" xr:uid="{00000000-0002-0000-0600-00000E000000}">
      <formula1>$R$992:$R$995</formula1>
    </dataValidation>
    <dataValidation type="list" allowBlank="1" showInputMessage="1" showErrorMessage="1" sqref="K2 K8 K5" xr:uid="{00000000-0002-0000-0600-00000F000000}">
      <formula1>$M$994:$M$1020</formula1>
    </dataValidation>
    <dataValidation type="list" allowBlank="1" showInputMessage="1" showErrorMessage="1" sqref="L2 L8 L5" xr:uid="{00000000-0002-0000-0600-000010000000}">
      <formula1>$N$994:$N$1020</formula1>
    </dataValidation>
    <dataValidation type="list" allowBlank="1" showInputMessage="1" showErrorMessage="1" sqref="M2 M8 M5" xr:uid="{00000000-0002-0000-0600-000011000000}">
      <formula1>$O$994:$O$1020</formula1>
    </dataValidation>
    <dataValidation type="list" allowBlank="1" showInputMessage="1" showErrorMessage="1" sqref="N2 N8 N5" xr:uid="{00000000-0002-0000-0600-000012000000}">
      <formula1>$P$995:$P$1020</formula1>
    </dataValidation>
    <dataValidation type="list" allowBlank="1" showInputMessage="1" showErrorMessage="1" sqref="J2 J5" xr:uid="{00000000-0002-0000-0600-000013000000}">
      <formula1>$R$994:$R$997</formula1>
    </dataValidation>
    <dataValidation type="list" allowBlank="1" showInputMessage="1" showErrorMessage="1" sqref="M9:M15 M24:M958 M22 M6:M7 M17:M20" xr:uid="{00000000-0002-0000-0600-000014000000}">
      <formula1>$O$962:$O$988</formula1>
    </dataValidation>
    <dataValidation type="list" allowBlank="1" showInputMessage="1" showErrorMessage="1" sqref="N9:N10 N24:N960 N22 N6:N7 N12:N15 N17:N20" xr:uid="{00000000-0002-0000-0600-000015000000}">
      <formula1>$P$962:$P$988</formula1>
    </dataValidation>
    <dataValidation type="list" allowBlank="1" showInputMessage="1" showErrorMessage="1" sqref="N11" xr:uid="{00000000-0002-0000-0600-000016000000}">
      <formula1>$P$963:$P$988</formula1>
    </dataValidation>
    <dataValidation type="list" allowBlank="1" showInputMessage="1" showErrorMessage="1" sqref="J22 J20" xr:uid="{00000000-0002-0000-0600-000017000000}">
      <formula1>$R$962:$R$965</formula1>
    </dataValidation>
    <dataValidation type="list" allowBlank="1" showInputMessage="1" showErrorMessage="1" sqref="K24" xr:uid="{00000000-0002-0000-0600-000018000000}">
      <formula1>$M$946:$M$972</formula1>
    </dataValidation>
    <dataValidation type="list" allowBlank="1" showInputMessage="1" showErrorMessage="1" sqref="L24" xr:uid="{00000000-0002-0000-0600-000019000000}">
      <formula1>$N$946:$N$972</formula1>
    </dataValidation>
    <dataValidation type="list" allowBlank="1" showInputMessage="1" showErrorMessage="1" sqref="J24" xr:uid="{00000000-0002-0000-0600-00001A000000}">
      <formula1>$R$946:$R$950</formula1>
    </dataValidation>
    <dataValidation type="list" allowBlank="1" showInputMessage="1" showErrorMessage="1" sqref="K25:K958 K22 K6:K7 K9:K15 K17:K20" xr:uid="{00000000-0002-0000-0600-00001B000000}">
      <formula1>$M$962:$M$988</formula1>
    </dataValidation>
    <dataValidation type="list" allowBlank="1" showInputMessage="1" showErrorMessage="1" sqref="L25:L958 L22 L6:L7 L9:L15 L17:L20" xr:uid="{00000000-0002-0000-0600-00001C000000}">
      <formula1>$N$962:$N$988</formula1>
    </dataValidation>
    <dataValidation type="list" allowBlank="1" showInputMessage="1" showErrorMessage="1" sqref="J6:J7" xr:uid="{00000000-0002-0000-0600-00001D000000}">
      <formula1>$R$962:$R$967</formula1>
    </dataValidation>
    <dataValidation type="list" allowBlank="1" showInputMessage="1" showErrorMessage="1" sqref="J25:J959" xr:uid="{00000000-0002-0000-0600-00001E000000}">
      <formula1>$R$962:$R$966</formula1>
    </dataValidation>
    <dataValidation type="list" allowBlank="1" showInputMessage="1" showErrorMessage="1" sqref="L23" xr:uid="{00000000-0002-0000-0600-00001F000000}">
      <formula1>$N$974:$N$1000</formula1>
    </dataValidation>
    <dataValidation type="list" allowBlank="1" showInputMessage="1" showErrorMessage="1" sqref="K23" xr:uid="{00000000-0002-0000-0600-000020000000}">
      <formula1>$M$974:$M$1000</formula1>
    </dataValidation>
    <dataValidation type="list" allowBlank="1" showInputMessage="1" showErrorMessage="1" sqref="J23" xr:uid="{00000000-0002-0000-0600-000021000000}">
      <formula1>$R$974:$R$977</formula1>
    </dataValidation>
    <dataValidation type="list" allowBlank="1" showInputMessage="1" showErrorMessage="1" sqref="N23" xr:uid="{00000000-0002-0000-0600-000022000000}">
      <formula1>$P$974:$P$1000</formula1>
    </dataValidation>
    <dataValidation type="list" allowBlank="1" showInputMessage="1" showErrorMessage="1" sqref="M23" xr:uid="{00000000-0002-0000-0600-000023000000}">
      <formula1>$O$974:$O$1000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43B10-726D-4CDE-B6B3-EE5E1CA77175}">
  <sheetPr codeName="Sheet14"/>
  <dimension ref="A1:L28"/>
  <sheetViews>
    <sheetView topLeftCell="K1" workbookViewId="0">
      <selection activeCell="K3" sqref="K3"/>
    </sheetView>
  </sheetViews>
  <sheetFormatPr defaultRowHeight="15" x14ac:dyDescent="0.25"/>
  <cols>
    <col min="1" max="1" width="48.85546875" customWidth="1"/>
    <col min="2" max="2" width="47" style="7" customWidth="1"/>
    <col min="3" max="3" width="45.5703125" style="7" customWidth="1"/>
    <col min="4" max="4" width="45" style="7" customWidth="1"/>
    <col min="5" max="5" width="96.7109375" style="7" customWidth="1"/>
    <col min="6" max="6" width="73.28515625" style="7" customWidth="1"/>
    <col min="7" max="7" width="53.85546875" customWidth="1"/>
    <col min="8" max="8" width="33.85546875" style="7" customWidth="1"/>
    <col min="9" max="9" width="43.140625" style="7" customWidth="1"/>
    <col min="10" max="10" width="86.42578125" style="7" customWidth="1"/>
    <col min="11" max="11" width="181.28515625" style="7" customWidth="1"/>
  </cols>
  <sheetData>
    <row r="1" spans="1:12" x14ac:dyDescent="0.25">
      <c r="A1" t="s">
        <v>1323</v>
      </c>
      <c r="B1" s="7" t="s">
        <v>1324</v>
      </c>
      <c r="C1" s="7" t="s">
        <v>1325</v>
      </c>
      <c r="D1" s="7" t="s">
        <v>1326</v>
      </c>
      <c r="E1" s="7" t="s">
        <v>1327</v>
      </c>
      <c r="F1" s="7" t="s">
        <v>1328</v>
      </c>
      <c r="G1" s="7" t="s">
        <v>1329</v>
      </c>
      <c r="H1" s="7" t="s">
        <v>1333</v>
      </c>
      <c r="I1" s="7" t="s">
        <v>1333</v>
      </c>
      <c r="J1" s="7" t="s">
        <v>1334</v>
      </c>
      <c r="K1" s="7" t="s">
        <v>1335</v>
      </c>
    </row>
    <row r="2" spans="1:12" ht="99" customHeight="1" x14ac:dyDescent="0.25">
      <c r="A2" s="7" t="str">
        <f t="shared" ref="A2:A28" si="0">UnitURI &amp; "  a " &amp;LithoStratClass &amp; " ;  rdfs:label  " &amp;CHAR(34) &amp; label &amp; CHAR(34) &amp; "@en ;  "</f>
        <v xml:space="preserve">iwh:strat-SOLT  a gsog:Group ;  rdfs:label  "Solent Group"@en ;  </v>
      </c>
      <c r="B2" s="7" t="str">
        <f>"gsoq:indirectTemporalOccupies  gstime:" &amp; AgeMin &amp; "; " &amp;makeComment('PM1'!P2) &amp; "  "</f>
        <v xml:space="preserve">gsoq:indirectTemporalOccupies  gstime:Priabonian; rdfs:comment "HookerEtAl, 2009, DOI: 10.1130/2009.2452(12)"@en ;  </v>
      </c>
      <c r="C2" s="7" t="str">
        <f>"gsoc:isParticipantIn [  a gspr:Deposition; rdfs:label " &amp; quote( "Deposition during " &amp;'PM1'!N2)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2" s="7" t="str">
        <f t="shared" ref="D2:D28" si="1">"gsoc:isPartOf " &amp; part_of &amp; " ;  gsoc:hasPart " &amp; BasalBoundaryID &amp; " ;  gsog:overlies " &amp;underlyingUnitURI &amp; " ;  "</f>
        <v xml:space="preserve">gsoc:isPartOf  ;  gsoc:hasPart iwh:BaseSolentGroup ;  gsog:overlies iwh:strat-BA ;  </v>
      </c>
      <c r="E2" s="7" t="str">
        <f>"gsog:hasMaterialConstituent [ a " &amp; DominantLithURI &amp; " ;   gsoc:hasQuality [ a gsoc:Proportion; gsoc:hasValue [a gsoq:Dominant_Constituent ]  ]] ;  " &amp;  IF(ISBLANK( 'PM1'!AC2), "", "gsog:hasMaterialConstituent [ a " &amp; SubordinateLithURI &amp; "  ;    gsoc:hasQuality [ a gsoc:Proportion ; gsoc:hasValue [a gsoq:Subordinate_Constituent ]  ] ] ; ")  &amp; makeComment('PM1'!AH2) &amp;  "  "</f>
        <v xml:space="preserve">gsog:hasMaterialConstituent [ a gslth:Generic_Mudstone ;   gsoc:hasQuality [ a gsoc:Proportion; gsoc:hasValue [a gsoq:Dominant_Constituent ]  ]] ;  gsog:hasMaterialConstituent [ a gslth:Limestone  ;    gsoc:hasQuality [ a gsoc:Proportion ; gsoc:hasValue [a gsoq:Subordinate_Constituent ]  ] ] ; rdfs:comment "Interbedded silty clays, calcareous clays and limestone"@en ;  </v>
      </c>
      <c r="F2" s="7" t="str">
        <f>" gsoc:hasQuality [  a gsoq:Thickness ;	  gsoc:determinedBy [	a gsoc:Observation ; gsoc:hasDataValue " &amp; quote('PM1'!AK3 ) &amp; "@en ] ;  " &amp; IF(ISBLANK('PM1'!AJ2), " gsoc:hasValue [ a gsoc:Numeric_Value ; gsoc:hasDataValue " &amp; quote('PM1'!AI2) &amp; " ^^xsd:decimal ;  gsoc:hasUOM [ a gsuom:meter ]] ] ;   ", "  gsoc:hasValue [a gsoc:Quality_Range ;  gsoc:hasStartValue [ a gsoc:Numeric_Value ;  gsoc:hasDataValue " &amp; quote('PM1'!AI2) &amp; "^^xsd:decimal ;  gsoc:hasUOM [ a gsuom:meter ] ] ;   gsoc:hasEndValue [ a gsoc:Numeric_Value ; gsoc:hasDataValue " &amp; quote('PM1'!AJ2)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"200"^^xsd:decimal ;   gsoc:hasUOM [ a gsuom:meter ]] ; ]  ] ;   </v>
      </c>
      <c r="G2" s="7" t="str">
        <f>" gsoc:hasSetting [ a  "  &amp; PaleoenvURI &amp;  "  ] ;  "  &amp; makeComment('PM1'!AN2) &amp; "  " &amp; makeComment('PM1'!AO2) &amp;  ".  "</f>
        <v xml:space="preserve"> gsoc:hasSetting [ a  gsen:Lacustrine_Setting,  gsen:River_Plain_System_Setting, gsen:Marine_Setting  ] ;  rdfs:comment "Predominantly non-marine, freshwater to brackish water, fluvial/terrestrial; locally fully marine"@en ;  rdfs:comment "ISBN:9780751837773, ISBN:9780852727720, DOI:10.1144/GOEWP"@en ;.  </v>
      </c>
      <c r="H2" s="7" t="str">
        <f t="shared" ref="H2:H28" si="2">BasalBoundaryID  &amp; "  a gsog:Rock_Body_Boundary ;  gsoc:hostedBy " &amp; UnitURI &amp; ";   gsoc:isParticipantIn [ a gspr:Deposition ]  .  "</f>
        <v xml:space="preserve">iwh:BaseSolentGroup  a gsog:Rock_Body_Boundary ;  gsoc:hostedBy iwh:strat-SOLT;   gsoc:isParticipantIn [ a gspr:Deposition ]  .  </v>
      </c>
      <c r="I2" s="7" t="str">
        <f t="shared" ref="I2:I28" si="3">TopBoundaryID &amp; " a gsog:Rock_Body_Boundary ;   gsoc:hostedBy " &amp; UnitURI &amp; " ;   gsoc:isParticipantIn [ a " &amp; TopBoundaryProcess &amp; " ]  .  "</f>
        <v xml:space="preserve">iwh:TopSolentGroup a gsog:Rock_Body_Boundary ;   gsoc:hostedBy iwh:strat-SOLT ;   gsoc:isParticipantIn [ a gspr:Deposition ]  .  </v>
      </c>
      <c r="J2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VLOOKUP(UPPER(RIGHT('PM1'!Q2, LEN('PM1'!Q2) - FIND("on_", 'PM1'!Q2) - 2)),LookupAbbrev,2, FALSE)  &amp;  """@en ;   " &amp; makeComment('PM1'!W2) &amp; ".  "</f>
        <v xml:space="preserve">iwh:contact_solt_on_ba   a gscn:Conformable_Contact ;     gsoc:hasOlderHost  iwh:strat-BA ;   gsoc:hasYoungerHost iwh:BaseSolentGroup  ;  gsoc:hasYoungerHost iwh:strat-SOLT  ;  rdfs:label  "Solent Group  overlies Barton"@en ;   rdfs:comment "Normal"@en ;.  </v>
      </c>
      <c r="K2" s="7" t="str">
        <f>_xlfn.CONCAT(A2:J2)</f>
        <v xml:space="preserve">iwh:strat-SOLT  a gsog:Group ;  rdfs:label  "Solent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 ;  gsoc:hasPart iwh:BaseSolentGroup ;  gsog:overlies iwh:strat-BA ;  gsog:hasMaterialConstituent [ a gslth:Generic_Mudstone ;   gsoc:hasQuality [ a gsoc:Proportion; gsoc:hasValue [a gsoq:Dominant_Constituent ]  ]] ;  gsog:hasMaterialConstituent [ a gslth:Limestone  ;    gsoc:hasQuality [ a gsoc:Proportion ; gsoc:hasValue [a gsoq:Subordinate_Constituent ]  ] ] ; rdfs:comment "Interbedded silty clays, calcareous clays and limestone"@en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"200"^^xsd:decimal ;   gsoc:hasUOM [ a gsuom:meter ]] ; ]  ] ;    gsoc:hasSetting [ a  gsen:Lacustrine_Setting,  gsen:River_Plain_System_Setting, gsen:Marine_Setting  ] ;  rdfs:comment "Predominantly non-marine, freshwater to brackish water, fluvial/terrestrial; locally fully marine"@en ;  rdfs:comment "ISBN:9780751837773, ISBN:9780852727720, DOI:10.1144/GOEWP"@en ;.  iwh:BaseSolentGroup  a gsog:Rock_Body_Boundary ;  gsoc:hostedBy iwh:strat-SOLT;   gsoc:isParticipantIn [ a gspr:Deposition ]  .  iwh:TopSolentGroup a gsog:Rock_Body_Boundary ;   gsoc:hostedBy iwh:strat-SOLT ;   gsoc:isParticipantIn [ a gspr:Deposition ]  .  iwh:contact_solt_on_ba   a gscn:Conformable_Contact ;     gsoc:hasOlderHost  iwh:strat-BA ;   gsoc:hasYoungerHost iwh:BaseSolentGroup  ;  gsoc:hasYoungerHost iwh:strat-SOLT  ;  rdfs:label  "Solent Group  overlies Barton"@en ;   rdfs:comment "Normal"@en ;.  </v>
      </c>
      <c r="L2" t="str">
        <f>UPPER(RIGHT('PM1'!Q2, LEN('PM1'!Q2) - FIND("on_", 'PM1'!Q2) - 2))</f>
        <v>BA</v>
      </c>
    </row>
    <row r="3" spans="1:12" ht="150" x14ac:dyDescent="0.25">
      <c r="A3" s="7" t="str">
        <f t="shared" si="0"/>
        <v xml:space="preserve">iwh:strat-BOUL  a gsog:Formation ;  rdfs:label  "Bouldnor Formation, Solent Group"@en ;  </v>
      </c>
      <c r="B3" s="7" t="str">
        <f>"gsoq:indirectTemporalOccupies  gstime:" &amp; AgeMin &amp; "; " &amp;makeComment('PM1'!P3) &amp; "  "</f>
        <v xml:space="preserve">gsoq:indirectTemporalOccupies  gstime:Rupelian; rdfs:comment "HookerEtAl, 2009, DOI: 10.1130/2009.2452(12)"@en ;  </v>
      </c>
      <c r="C3" s="7" t="str">
        <f>"gsoc:isParticipantIn [  a gspr:Deposition; rdfs:label " &amp; quote( "Deposition during " &amp;'PM1'!N3) &amp; "@en ; " &amp; "gsoc:directTemporalOccupies gstime:" &amp; AgeMin &amp; " 	] ;   "</f>
        <v xml:space="preserve">gsoc:isParticipantIn [  a gspr:Deposition; rdfs:label "Deposition during Rupelian"@en ; gsoc:directTemporalOccupies gstime:Rupelian 	] ;   </v>
      </c>
      <c r="D3" s="7" t="str">
        <f t="shared" si="1"/>
        <v xml:space="preserve">gsoc:isPartOf iwh:strat-SOLT ;  gsoc:hasPart iwh:BaseBouldnor ;  gsog:overlies iwh:strat-BEL ;  </v>
      </c>
      <c r="E3" s="7" t="str">
        <f>"gsog:hasMaterialConstituent [ a " &amp; DominantLithURI &amp; " ;   gsoc:hasQuality [ a gsoc:Proportion; gsoc:hasValue [a gsoq:Dominant_Constituent ]  ]] ;  " &amp;  IF(ISBLANK( 'PM1'!AC3), "", "gsog:hasMaterialConstituent [ a " &amp; SubordinateLithURI &amp; "  ;    gsoc:hasQuality [ a gsoc:Proportion ; gsoc:hasValue [a gsoq:Subordinate_Constituent ]  ] ] ; ")  &amp; makeComment('PM1'!AH3) &amp;  "  "</f>
        <v xml:space="preserve">gsog:hasMaterialConstituent [ a gslth:Generic_Mudstone ;   gsoc:hasQuality [ a gsoc:Proportion; gsoc:hasValue [a gsoq:Dominant_Constituent ]  ]] ;  rdfs:comment "interbedded clay and silt with organic beds"@en ;  </v>
      </c>
      <c r="F3" s="7" t="str">
        <f>" gsoc:hasQuality [  a gsoq:Thickness ;	  gsoc:determinedBy [	a gsoc:Observation ; gsoc:hasDataValue " &amp; quote('PM1'!AK4 ) &amp; "@en ] ;  " &amp; IF(ISBLANK('PM1'!AJ3), " gsoc:hasValue [ a gsoc:Numeric_Value ; gsoc:hasDataValue " &amp; quote('PM1'!AI3) &amp; " ^^xsd:decimal ;  gsoc:hasUOM [ a gsuom:meter ]] ] ;   ", "  gsoc:hasValue [a gsoc:Quality_Range ;  gsoc:hasStartValue [ a gsoc:Numeric_Value ;  gsoc:hasDataValue " &amp; quote('PM1'!AI3) &amp; "^^xsd:decimal ;  gsoc:hasUOM [ a gsuom:meter ] ] ;   gsoc:hasEndValue [ a gsoc:Numeric_Value ; gsoc:hasDataValue " &amp; quote('PM1'!AJ3)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"11"^^xsd:decimal ;   gsoc:hasUOM [ a gsuom:meter ]] ; ]  ] ;   </v>
      </c>
      <c r="G3" s="7" t="str">
        <f>" gsoc:hasSetting [ a  "  &amp; PaleoenvURI &amp;  "  ] ;  "  &amp; makeComment('PM1'!AN3) &amp; "  " &amp; makeComment('PM1'!AO3) &amp;  ".  "</f>
        <v xml:space="preserve"> gsoc:hasSetting [ a  gsen:Swamp_Or_Marsh_Setting  ] ;  rdfs:comment "Brackish/freshwater with pedogenized clays"@en ;  rdfs:comment "ISBN:9780751837773, ISBN:9780852727720, DOI:10.1144/GOEWP"@en ;.  </v>
      </c>
      <c r="H3" s="7" t="str">
        <f t="shared" si="2"/>
        <v xml:space="preserve">iwh:BaseBouldnor  a gsog:Rock_Body_Boundary ;  gsoc:hostedBy iwh:strat-BOUL;   gsoc:isParticipantIn [ a gspr:Deposition ]  .  </v>
      </c>
      <c r="I3" s="7" t="str">
        <f t="shared" si="3"/>
        <v xml:space="preserve">iwh:TopSolentGroup a gsog:Rock_Body_Boundary ;   gsoc:hostedBy iwh:strat-BOUL ;   gsoc:isParticipantIn [ a gspr:Deposition ]  .  </v>
      </c>
      <c r="J3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VLOOKUP(UPPER(RIGHT('PM1'!Q3, LEN('PM1'!Q3) - FIND("on_", 'PM1'!Q3) - 2)),LookupAbbrev,2, FALSE)  &amp;  """@en ;   " &amp; makeComment('PM1'!W3) &amp; ".  "</f>
        <v xml:space="preserve">iwh:contact_boul_on_bel   a gscn:Paraconformable_Contact ;     gsoc:hasOlderHost  iwh:strat-BEL ;   gsoc:hasYoungerHost iwh:BaseBouldnor  ;  gsoc:hasYoungerHost iwh:strat-BOUL  ;  rdfs:label  "Bouldnor Formation, Solent Group  overlies Bembridge Limestone"@en ;   rdfs:comment "Omission surface"@en ;.  </v>
      </c>
      <c r="K3" s="7" t="str">
        <f t="shared" ref="K3:K28" si="4">_xlfn.CONCAT(A3:J3)</f>
        <v xml:space="preserve">iwh:strat-BOUL  a gsog:Formation ;  rdfs:label  "Bouldnor Formation, Solent Group"@en ;  gsoq:indirectTemporalOccupies  gstime:Rupelian; rdfs:comment "HookerEtAl, 2009, DOI: 10.1130/2009.2452(12)"@en ;  gsoc:isParticipantIn [  a gspr:Deposition; rdfs:label "Deposition during Rupelian"@en ; gsoc:directTemporalOccupies gstime:Rupelian 	] ;   gsoc:isPartOf iwh:strat-SOLT ;  gsoc:hasPart iwh:BaseBouldnor ;  gsog:overlies iwh:strat-BEL ;  gsog:hasMaterialConstituent [ a gslth:Generic_Mudstone ;   gsoc:hasQuality [ a gsoc:Proportion; gsoc:hasValue [a gsoq:Dominant_Constituent ]  ]] ;  rdfs:comment "interbedded clay and silt with organic beds"@en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"11"^^xsd:decimal ;   gsoc:hasUOM [ a gsuom:meter ]] ; ]  ] ;    gsoc:hasSetting [ a  gsen:Swamp_Or_Marsh_Setting  ] ;  rdfs:comment "Brackish/freshwater with pedogenized clays"@en ;  rdfs:comment "ISBN:9780751837773, ISBN:9780852727720, DOI:10.1144/GOEWP"@en ;.  iwh:BaseBouldnor  a gsog:Rock_Body_Boundary ;  gsoc:hostedBy iwh:strat-BOUL;   gsoc:isParticipantIn [ a gspr:Deposition ]  .  iwh:TopSolentGroup a gsog:Rock_Body_Boundary ;   gsoc:hostedBy iwh:strat-BOUL ;   gsoc:isParticipantIn [ a gspr:Deposition ]  .  iwh:contact_boul_on_bel   a gscn:Paraconformable_Contact ;     gsoc:hasOlderHost  iwh:strat-BEL ;   gsoc:hasYoungerHost iwh:BaseBouldnor  ;  gsoc:hasYoungerHost iwh:strat-BOUL  ;  rdfs:label  "Bouldnor Formation, Solent Group  overlies Bembridge Limestone"@en ;   rdfs:comment "Omission surface"@en ;.  </v>
      </c>
    </row>
    <row r="4" spans="1:12" ht="150" x14ac:dyDescent="0.25">
      <c r="A4" s="7" t="str">
        <f t="shared" si="0"/>
        <v xml:space="preserve">iwh:strat-CRMA  a gsog:Member ;  rdfs:label  "Cranmore Member of Bouldnor Formation, Solent Group"@en ;  </v>
      </c>
      <c r="B4" s="7" t="str">
        <f>"gsoq:indirectTemporalOccupies  gstime:" &amp; AgeMin &amp; "; " &amp;makeComment('PM1'!P4) &amp; "  "</f>
        <v xml:space="preserve">gsoq:indirectTemporalOccupies  gstime:Rupelian; rdfs:comment "HookerEtAl, 2009, DOI: 10.1130/2009.2452(12)"@en ;  </v>
      </c>
      <c r="C4" s="7" t="str">
        <f>"gsoc:isParticipantIn [  a gspr:Deposition; rdfs:label " &amp; quote( "Deposition during " &amp;'PM1'!N4) &amp; "@en ; " &amp; "gsoc:directTemporalOccupies gstime:" &amp; AgeMin &amp; " 	] ;   "</f>
        <v xml:space="preserve">gsoc:isParticipantIn [  a gspr:Deposition; rdfs:label "Deposition during Rupelian"@en ; gsoc:directTemporalOccupies gstime:Rupelian 	] ;   </v>
      </c>
      <c r="D4" s="7" t="str">
        <f t="shared" si="1"/>
        <v xml:space="preserve">gsoc:isPartOf iwh:strat-BOUL ;  gsoc:hasPart iwh:BaseCranmore ;  gsog:overlies iwh:strat-HM ;  </v>
      </c>
      <c r="E4" s="7" t="str">
        <f>"gsog:hasMaterialConstituent [ a " &amp; DominantLithURI &amp; " ;   gsoc:hasQuality [ a gsoc:Proportion; gsoc:hasValue [a gsoq:Dominant_Constituent ]  ]] ;  " &amp;  IF(ISBLANK( 'PM1'!AC4), "", "gsog:hasMaterialConstituent [ a " &amp; SubordinateLithURI &amp; "  ;    gsoc:hasQuality [ a gsoc:Proportion ; gsoc:hasValue [a gsoq:Subordinate_Constituent ]  ] ] ; ")  &amp; makeComment('PM1'!AH4) &amp;  "  "</f>
        <v xml:space="preserve">gsog:hasMaterialConstituent [ a gslth:Generic_Mudstone ;   gsoc:hasQuality [ a gsoc:Proportion; gsoc:hasValue [a gsoq:Dominant_Constituent ]  ]] ;  rdfs:comment "Shelly"@en ;  </v>
      </c>
      <c r="F4" s="7" t="str">
        <f>" gsoc:hasQuality [  a gsoq:Thickness ;	  gsoc:determinedBy [	a gsoc:Observation ; gsoc:hasDataValue " &amp; quote('PM1'!AK5 ) &amp; "@en ] ;  " &amp; IF(ISBLANK('PM1'!AJ4), " gsoc:hasValue [ a gsoc:Numeric_Value ; gsoc:hasDataValue " &amp; quote('PM1'!AI4) &amp; " ^^xsd:decimal ;  gsoc:hasUOM [ a gsuom:meter ]] ] ;   ", "  gsoc:hasValue [a gsoc:Quality_Range ;  gsoc:hasStartValue [ a gsoc:Numeric_Value ;  gsoc:hasDataValue " &amp; quote('PM1'!AI4) &amp; "^^xsd:decimal ;  gsoc:hasUOM [ a gsuom:meter ] ] ;   gsoc:hasEndValue [ a gsoc:Numeric_Value ; gsoc:hasDataValue " &amp; quote('PM1'!AJ4)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"9"^^xsd:decimal ;   gsoc:hasUOM [ a gsuom:meter ]] ; ]  ] ;   </v>
      </c>
      <c r="G4" s="7" t="str">
        <f>" gsoc:hasSetting [ a  "  &amp; PaleoenvURI &amp;  "  ] ;  "  &amp; makeComment('PM1'!AN4) &amp; "  " &amp; makeComment('PM1'!AO4) &amp;  ".  "</f>
        <v xml:space="preserve"> gsoc:hasSetting [ a  gsen:Swamp_Or_Marsh_Setting,  gsen:Inner_Neritic_Setting  ] ;  rdfs:comment "Brackish &amp; shallow marine"@en ;  rdfs:comment "ISBN:9780751837773, ISBN:9780852727720, DOI:10.1144/GOEWP"@en ;.  </v>
      </c>
      <c r="H4" s="7" t="str">
        <f t="shared" si="2"/>
        <v xml:space="preserve">iwh:BaseCranmore  a gsog:Rock_Body_Boundary ;  gsoc:hostedBy iwh:strat-CRMA;   gsoc:isParticipantIn [ a gspr:Deposition ]  .  </v>
      </c>
      <c r="I4" s="7" t="str">
        <f t="shared" si="3"/>
        <v xml:space="preserve">iwh:TopSolentGroup a gsog:Rock_Body_Boundary ;   gsoc:hostedBy iwh:strat-CRMA ;   gsoc:isParticipantIn [ a gspr:Deposition ]  .  </v>
      </c>
      <c r="J4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VLOOKUP(UPPER(RIGHT('PM1'!Q4, LEN('PM1'!Q4) - FIND("on_", 'PM1'!Q4) - 2)),LookupAbbrev,2, FALSE)  &amp;  """@en ;   " &amp; makeComment('PM1'!W4) &amp; ".  "</f>
        <v xml:space="preserve">iwh:contact_crma_on_hm   a gscn:Conformable_Contact ;     gsoc:hasOlderHost  iwh:strat-HM ;   gsoc:hasYoungerHost iwh:BaseCranmore  ;  gsoc:hasYoungerHost iwh:strat-CRMA  ;  rdfs:label  "Cranmore Member of Bouldnor Formation, Solent Group  overlies Hamstead"@en ;   rdfs:comment "Normal"@en ;.  </v>
      </c>
      <c r="K4" s="7" t="str">
        <f t="shared" si="4"/>
        <v xml:space="preserve">iwh:strat-CRMA  a gsog:Member ;  rdfs:label  "Cranmore Member of Bouldnor Formation, Solent Group"@en ;  gsoq:indirectTemporalOccupies  gstime:Rupelian; rdfs:comment "HookerEtAl, 2009, DOI: 10.1130/2009.2452(12)"@en ;  gsoc:isParticipantIn [  a gspr:Deposition; rdfs:label "Deposition during Rupelian"@en ; gsoc:directTemporalOccupies gstime:Rupelian 	] ;   gsoc:isPartOf iwh:strat-BOUL ;  gsoc:hasPart iwh:BaseCranmore ;  gsog:overlies iwh:strat-HM ;  gsog:hasMaterialConstituent [ a gslth:Generic_Mudstone ;   gsoc:hasQuality [ a gsoc:Proportion; gsoc:hasValue [a gsoq:Dominant_Constituent ]  ]] ;  rdfs:comment "Shelly"@en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"9"^^xsd:decimal ;   gsoc:hasUOM [ a gsuom:meter ]] ; ]  ] ;    gsoc:hasSetting [ a  gsen:Swamp_Or_Marsh_Setting,  gsen:Inner_Neritic_Setting  ] ;  rdfs:comment "Brackish &amp; shallow marine"@en ;  rdfs:comment "ISBN:9780751837773, ISBN:9780852727720, DOI:10.1144/GOEWP"@en ;.  iwh:BaseCranmore  a gsog:Rock_Body_Boundary ;  gsoc:hostedBy iwh:strat-CRMA;   gsoc:isParticipantIn [ a gspr:Deposition ]  .  iwh:TopSolentGroup a gsog:Rock_Body_Boundary ;   gsoc:hostedBy iwh:strat-CRMA ;   gsoc:isParticipantIn [ a gspr:Deposition ]  .  iwh:contact_crma_on_hm   a gscn:Conformable_Contact ;     gsoc:hasOlderHost  iwh:strat-HM ;   gsoc:hasYoungerHost iwh:BaseCranmore  ;  gsoc:hasYoungerHost iwh:strat-CRMA  ;  rdfs:label  "Cranmore Member of Bouldnor Formation, Solent Group  overlies Hamstead"@en ;   rdfs:comment "Normal"@en ;.  </v>
      </c>
    </row>
    <row r="5" spans="1:12" ht="165" x14ac:dyDescent="0.25">
      <c r="A5" s="7" t="str">
        <f t="shared" si="0"/>
        <v xml:space="preserve">iwh:strat-HM  a gsog:Member ;  rdfs:label  "Hamstead Member of Bouldnor Formation, Solent Group"@en ;  </v>
      </c>
      <c r="B5" s="7" t="str">
        <f>"gsoq:indirectTemporalOccupies  gstime:" &amp; AgeMin &amp; "; " &amp;makeComment('PM1'!P5) &amp; "  "</f>
        <v xml:space="preserve">gsoq:indirectTemporalOccupies  gstime:Rupelian; rdfs:comment "HookerEtAl, 2009, DOI: 10.1130/2009.2452(12)"@en ;  </v>
      </c>
      <c r="C5" s="7" t="str">
        <f>"gsoc:isParticipantIn [  a gspr:Deposition; rdfs:label " &amp; quote( "Deposition during " &amp;'PM1'!N5) &amp; "@en ; " &amp; "gsoc:directTemporalOccupies gstime:" &amp; AgeMin &amp; " 	] ;   "</f>
        <v xml:space="preserve">gsoc:isParticipantIn [  a gspr:Deposition; rdfs:label "Deposition during Rupelian"@en ; gsoc:directTemporalOccupies gstime:Rupelian 	] ;   </v>
      </c>
      <c r="D5" s="7" t="str">
        <f t="shared" si="1"/>
        <v xml:space="preserve">gsoc:isPartOf iwh:strat-BOUL ;  gsoc:hasPart iwh:BaseHamstead ;  gsog:overlies iwh:strat-BMBG ;  </v>
      </c>
      <c r="E5" s="7" t="str">
        <f>"gsog:hasMaterialConstituent [ a " &amp; DominantLithURI &amp; " ;   gsoc:hasQuality [ a gsoc:Proportion; gsoc:hasValue [a gsoq:Dominant_Constituent ]  ]] ;  " &amp;  IF(ISBLANK( 'PM1'!AC5), "", "gsog:hasMaterialConstituent [ a " &amp; SubordinateLithURI &amp; "  ;    gsoc:hasQuality [ a gsoc:Proportion ; gsoc:hasValue [a gsoq:Subordinate_Constituent ]  ] ] ; ")  &amp; makeComment('PM1'!AH5) &amp;  "  "</f>
        <v xml:space="preserve">gsog:hasMaterialConstituent [ a gslth:Generic_Mudstone ;   gsoc:hasQuality [ a gsoc:Proportion; gsoc:hasValue [a gsoq:Dominant_Constituent ]  ]] ;  gsog:hasMaterialConstituent [ a gslth:Generic_Mudstone  ;    gsoc:hasQuality [ a gsoc:Proportion ; gsoc:hasValue [a gsoq:Subordinate_Constituent ]  ] ] ; rdfs:comment "Oganic-rich beds; fine-grained sand unit near top"@en ;  </v>
      </c>
      <c r="F5" s="7" t="str">
        <f>" gsoc:hasQuality [  a gsoq:Thickness ;	  gsoc:determinedBy [	a gsoc:Observation ; gsoc:hasDataValue " &amp; quote('PM1'!AK6 ) &amp; "@en ] ;  " &amp; IF(ISBLANK('PM1'!AJ5), " gsoc:hasValue [ a gsoc:Numeric_Value ; gsoc:hasDataValue " &amp; quote('PM1'!AI5) &amp; " ^^xsd:decimal ;  gsoc:hasUOM [ a gsuom:meter ]] ] ;   ", "  gsoc:hasValue [a gsoc:Quality_Range ;  gsoc:hasStartValue [ a gsoc:Numeric_Value ;  gsoc:hasDataValue " &amp; quote('PM1'!AI5) &amp; "^^xsd:decimal ;  gsoc:hasUOM [ a gsuom:meter ] ] ;   gsoc:hasEndValue [ a gsoc:Numeric_Value ; gsoc:hasDataValue " &amp; quote('PM1'!AJ5)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"58"^^xsd:decimal ;   gsoc:hasUOM [ a gsuom:meter ]] ; ]  ] ;   </v>
      </c>
      <c r="G5" s="7" t="str">
        <f>" gsoc:hasSetting [ a  "  &amp; PaleoenvURI &amp;  "  ] ;  "  &amp; makeComment('PM1'!AN5) &amp; "  " &amp; makeComment('PM1'!AO5) &amp;  ".  "</f>
        <v xml:space="preserve"> gsoc:hasSetting [ a  gsen:Shoreline_Setting  ] ;  rdfs:comment "Marginal marine to non-marine"@en ;  rdfs:comment "ISBN:9780751837773, ISBN:9780852727720, DOI:10.1144/GOEWP"@en ;.  </v>
      </c>
      <c r="H5" s="7" t="str">
        <f t="shared" si="2"/>
        <v xml:space="preserve">iwh:BaseHamstead  a gsog:Rock_Body_Boundary ;  gsoc:hostedBy iwh:strat-HM;   gsoc:isParticipantIn [ a gspr:Deposition ]  .  </v>
      </c>
      <c r="I5" s="7" t="str">
        <f t="shared" si="3"/>
        <v xml:space="preserve">iwh:TopHamstead a gsog:Rock_Body_Boundary ;   gsoc:hostedBy iwh:strat-HM ;   gsoc:isParticipantIn [ a gspr:Deposition ]  .  </v>
      </c>
      <c r="J5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VLOOKUP(UPPER(RIGHT('PM1'!Q5, LEN('PM1'!Q5) - FIND("on_", 'PM1'!Q5) - 2)),LookupAbbrev,2, FALSE)  &amp;  """@en ;   " &amp; makeComment('PM1'!W5) &amp; ".  "</f>
        <v xml:space="preserve">iwh:contact_hm_on_bmbg   a gscn:Paraconformable_Contact ;     gsoc:hasOlderHost  iwh:strat-BMBG ;   gsoc:hasYoungerHost iwh:BaseHamstead  ;  gsoc:hasYoungerHost iwh:strat-HM  ;  rdfs:label  "Hamstead Member of Bouldnor Formation, Solent Group  overlies Bembridge Marls"@en ;   rdfs:comment "Omission surface"@en ;.  </v>
      </c>
      <c r="K5" s="7" t="str">
        <f t="shared" si="4"/>
        <v xml:space="preserve">iwh:strat-HM  a gsog:Member ;  rdfs:label  "Hamstead Member of Bouldnor Formation, Solent Group"@en ;  gsoq:indirectTemporalOccupies  gstime:Rupelian; rdfs:comment "HookerEtAl, 2009, DOI: 10.1130/2009.2452(12)"@en ;  gsoc:isParticipantIn [  a gspr:Deposition; rdfs:label "Deposition during Rupelian"@en ; gsoc:directTemporalOccupies gstime:Rupelian 	] ;   gsoc:isPartOf iwh:strat-BOUL ;  gsoc:hasPart iwh:BaseHamstead ;  gsog:overlies iwh:strat-BMBG ;  gsog:hasMaterialConstituent [ a gslth:Generic_Mudstone ;   gsoc:hasQuality [ a gsoc:Proportion; gsoc:hasValue [a gsoq:Dominant_Constituent ]  ]] ;  gsog:hasMaterialConstituent [ a gslth:Generic_Mudstone  ;    gsoc:hasQuality [ a gsoc:Proportion ; gsoc:hasValue [a gsoq:Subordinate_Constituent ]  ] ] ; rdfs:comment "Oganic-rich beds; fine-grained sand unit near top"@en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"58"^^xsd:decimal ;   gsoc:hasUOM [ a gsuom:meter ]] ; ]  ] ;    gsoc:hasSetting [ a  gsen:Shoreline_Setting  ] ;  rdfs:comment "Marginal marine to non-marine"@en ;  rdfs:comment "ISBN:9780751837773, ISBN:9780852727720, DOI:10.1144/GOEWP"@en ;.  iwh:BaseHamstead  a gsog:Rock_Body_Boundary ;  gsoc:hostedBy iwh:strat-HM;   gsoc:isParticipantIn [ a gspr:Deposition ]  .  iwh:TopHamstead a gsog:Rock_Body_Boundary ;   gsoc:hostedBy iwh:strat-HM ;   gsoc:isParticipantIn [ a gspr:Deposition ]  .  iwh:contact_hm_on_bmbg   a gscn:Paraconformable_Contact ;     gsoc:hasOlderHost  iwh:strat-BMBG ;   gsoc:hasYoungerHost iwh:BaseHamstead  ;  gsoc:hasYoungerHost iwh:strat-HM  ;  rdfs:label  "Hamstead Member of Bouldnor Formation, Solent Group  overlies Bembridge Marls"@en ;   rdfs:comment "Omission surface"@en ;.  </v>
      </c>
    </row>
    <row r="6" spans="1:12" ht="165" x14ac:dyDescent="0.25">
      <c r="A6" s="7" t="str">
        <f t="shared" si="0"/>
        <v xml:space="preserve">iwh:strat-BMBG  a gsog:Member ;  rdfs:label  "Bembridge Marls Member of Bouldnor Formation, Solent Group"@en ;  </v>
      </c>
      <c r="B6" s="7" t="str">
        <f>"gsoq:indirectTemporalOccupies  gstime:" &amp; AgeMin &amp; "; " &amp;makeComment('PM1'!P6) &amp; "  "</f>
        <v xml:space="preserve">gsoq:indirectTemporalOccupies  gstime:Priabonian; rdfs:comment "HookerEtAl, 2009, DOI: 10.1130/2009.2452(12)"@en ;  </v>
      </c>
      <c r="C6" s="7" t="str">
        <f>"gsoc:isParticipantIn [  a gspr:Deposition; rdfs:label " &amp; quote( "Deposition during " &amp;'PM1'!N6)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6" s="7" t="str">
        <f t="shared" si="1"/>
        <v xml:space="preserve">gsoc:isPartOf iwh:strat-BOUL ;  gsoc:hasPart iwh:BaseBouldnor ;  gsog:overlies iwh:strat-BEL ;  </v>
      </c>
      <c r="E6" s="7" t="str">
        <f>"gsog:hasMaterialConstituent [ a " &amp; DominantLithURI &amp; " ;   gsoc:hasQuality [ a gsoc:Proportion; gsoc:hasValue [a gsoq:Dominant_Constituent ]  ]] ;  " &amp;  IF(ISBLANK( 'PM1'!AC6), "", "gsog:hasMaterialConstituent [ a " &amp; SubordinateLithURI &amp; "  ;    gsoc:hasQuality [ a gsoc:Proportion ; gsoc:hasValue [a gsoq:Subordinate_Constituent ]  ] ] ; ")  &amp; makeComment('PM1'!AH6) &amp;  "  "</f>
        <v xml:space="preserve">gsog:hasMaterialConstituent [ a gslth:Generic_Mudstone ;   gsoc:hasQuality [ a gsoc:Proportion; gsoc:hasValue [a gsoq:Dominant_Constituent ]  ]] ;  gsog:hasMaterialConstituent [ a gslth:Limestone  ;    gsoc:hasQuality [ a gsoc:Proportion ; gsoc:hasValue [a gsoq:Subordinate_Constituent ]  ] ] ; rdfs:comment "includes sands; shelly"@en ;  </v>
      </c>
      <c r="F6" s="7" t="str">
        <f>" gsoc:hasQuality [  a gsoq:Thickness ;	  gsoc:determinedBy [	a gsoc:Observation ; gsoc:hasDataValue " &amp; quote('PM1'!AK7 ) &amp; "@en ] ;  " &amp; IF(ISBLANK('PM1'!AJ6), " gsoc:hasValue [ a gsoc:Numeric_Value ; gsoc:hasDataValue " &amp; quote('PM1'!AI6) &amp; " ^^xsd:decimal ;  gsoc:hasUOM [ a gsuom:meter ]] ] ;   ", "  gsoc:hasValue [a gsoc:Quality_Range ;  gsoc:hasStartValue [ a gsoc:Numeric_Value ;  gsoc:hasDataValue " &amp; quote('PM1'!AI6) &amp; "^^xsd:decimal ;  gsoc:hasUOM [ a gsuom:meter ] ] ;   gsoc:hasEndValue [ a gsoc:Numeric_Value ; gsoc:hasDataValue " &amp; quote('PM1'!AJ6)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"34"^^xsd:decimal ;   gsoc:hasUOM [ a gsuom:meter ]] ; ]  ] ;   </v>
      </c>
      <c r="G6" s="7" t="str">
        <f>" gsoc:hasSetting [ a  "  &amp; PaleoenvURI &amp;  "  ] ;  "  &amp; makeComment('PM1'!AN6) &amp; "  " &amp; makeComment('PM1'!AO6) &amp;  ".  "</f>
        <v xml:space="preserve"> gsoc:hasSetting [ a  gsen:Shoreline_Setting  ] ;  rdfs:comment "Marginal marine to non-marine"@en ;  rdfs:comment "ISBN:9780751837773, ISBN:9780852727720, DOI:10.1144/GOEWP"@en ;.  </v>
      </c>
      <c r="H6" s="7" t="str">
        <f t="shared" si="2"/>
        <v xml:space="preserve">iwh:BaseBouldnor  a gsog:Rock_Body_Boundary ;  gsoc:hostedBy iwh:strat-BMBG;   gsoc:isParticipantIn [ a gspr:Deposition ]  .  </v>
      </c>
      <c r="I6" s="7" t="str">
        <f t="shared" si="3"/>
        <v xml:space="preserve">iwh:TopBembridgeMarls a gsog:Rock_Body_Boundary ;   gsoc:hostedBy iwh:strat-BMBG ;   gsoc:isParticipantIn [ a gspr:Deposition_Hiatus ]  .  </v>
      </c>
      <c r="J6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VLOOKUP(UPPER(RIGHT('PM1'!Q6, LEN('PM1'!Q6) - FIND("on_", 'PM1'!Q6) - 2)),LookupAbbrev,2, FALSE)  &amp;  """@en ;   " &amp; makeComment('PM1'!W6) &amp; ".  "</f>
        <v xml:space="preserve">iwh:contact_bmbh_on_bel   a gscn:Paraconformable_Contact ;     gsoc:hasOlderHost  iwh:strat-BEL ;   gsoc:hasYoungerHost iwh:BaseBouldnor  ;  gsoc:hasYoungerHost iwh:strat-BMBG  ;  rdfs:label  "Bembridge Marls Member of Bouldnor Formation, Solent Group  overlies Bembridge Limestone"@en ;   rdfs:comment "Omission surface"@en ;.  </v>
      </c>
      <c r="K6" s="7" t="str">
        <f t="shared" si="4"/>
        <v xml:space="preserve">iwh:strat-BMBG  a gsog:Member ;  rdfs:label  "Bembridge Marls Member of Bouldnor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iwh:strat-BOUL ;  gsoc:hasPart iwh:BaseBouldnor ;  gsog:overlies iwh:strat-BEL ;  gsog:hasMaterialConstituent [ a gslth:Generic_Mudstone ;   gsoc:hasQuality [ a gsoc:Proportion; gsoc:hasValue [a gsoq:Dominant_Constituent ]  ]] ;  gsog:hasMaterialConstituent [ a gslth:Limestone  ;    gsoc:hasQuality [ a gsoc:Proportion ; gsoc:hasValue [a gsoq:Subordinate_Constituent ]  ] ] ; rdfs:comment "includes sands; shelly"@en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"34"^^xsd:decimal ;   gsoc:hasUOM [ a gsuom:meter ]] ; ]  ] ;    gsoc:hasSetting [ a  gsen:Shoreline_Setting  ] ;  rdfs:comment "Marginal marine to non-marine"@en ;  rdfs:comment "ISBN:9780751837773, ISBN:9780852727720, DOI:10.1144/GOEWP"@en ;.  iwh:BaseBouldnor  a gsog:Rock_Body_Boundary ;  gsoc:hostedBy iwh:strat-BMBG;   gsoc:isParticipantIn [ a gspr:Deposition ]  .  iwh:TopBembridgeMarls a gsog:Rock_Body_Boundary ;   gsoc:hostedBy iwh:strat-BMBG ;   gsoc:isParticipantIn [ a gspr:Deposition_Hiatus ]  .  iwh:contact_bmbh_on_bel   a gscn:Paraconformable_Contact ;     gsoc:hasOlderHost  iwh:strat-BEL ;   gsoc:hasYoungerHost iwh:BaseBouldnor  ;  gsoc:hasYoungerHost iwh:strat-BMBG  ;  rdfs:label  "Bembridge Marls Member of Bouldnor Formation, Solent Group  overlies Bembridge Limestone"@en ;   rdfs:comment "Omission surface"@en ;.  </v>
      </c>
    </row>
    <row r="7" spans="1:12" ht="165" x14ac:dyDescent="0.25">
      <c r="A7" s="7" t="str">
        <f t="shared" si="0"/>
        <v xml:space="preserve">iwh:strat-BEL  a gsog:Formation ;  rdfs:label  "Bembridge Limestone, Solent Group"@en ;  </v>
      </c>
      <c r="B7" s="7" t="str">
        <f>"gsoq:indirectTemporalOccupies  gstime:" &amp; AgeMin &amp; "; " &amp;makeComment('PM1'!P7) &amp; "  "</f>
        <v xml:space="preserve">gsoq:indirectTemporalOccupies  gstime:Priabonian; rdfs:comment "HookerEtAl, 2009, DOI: 10.1130/2009.2452(12)"@en ;  </v>
      </c>
      <c r="C7" s="7" t="str">
        <f>"gsoc:isParticipantIn [  a gspr:Deposition; rdfs:label " &amp; quote( "Deposition during " &amp;'PM1'!N7)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7" s="7" t="str">
        <f t="shared" si="1"/>
        <v xml:space="preserve">gsoc:isPartOf iwh:strat-SOLT ;  gsoc:hasPart iwh:BaseBembridgeLimestone ;  gsog:overlies iwh:strat-HEHI ;  </v>
      </c>
      <c r="E7" s="7" t="str">
        <f>"gsog:hasMaterialConstituent [ a " &amp; DominantLithURI &amp; " ;   gsoc:hasQuality [ a gsoc:Proportion; gsoc:hasValue [a gsoq:Dominant_Constituent ]  ]] ;  " &amp;  IF(ISBLANK( 'PM1'!AC7), "", "gsog:hasMaterialConstituent [ a " &amp; SubordinateLithURI &amp; "  ;    gsoc:hasQuality [ a gsoc:Proportion ; gsoc:hasValue [a gsoq:Subordinate_Constituent ]  ] ] ; ")  &amp; makeComment('PM1'!AH7) &amp;  "  "</f>
        <v xml:space="preserve">gsog:hasMaterialConstituent [ a gslth:Limestone ;   gsoc:hasQuality [ a gsoc:Proportion; gsoc:hasValue [a gsoq:Dominant_Constituent ]  ]] ;  gsog:hasMaterialConstituent [ a gslth:Generic_Mudstone  ;    gsoc:hasQuality [ a gsoc:Proportion ; gsoc:hasValue [a gsoq:Subordinate_Constituent ]  ] ] ; rdfs:comment "shelly"@en ;  </v>
      </c>
      <c r="F7" s="7" t="str">
        <f>" gsoc:hasQuality [  a gsoq:Thickness ;	  gsoc:determinedBy [	a gsoc:Observation ; gsoc:hasDataValue " &amp; quote('PM1'!AK8 ) &amp; "@en ] ;  " &amp; IF(ISBLANK('PM1'!AJ7), " gsoc:hasValue [ a gsoc:Numeric_Value ; gsoc:hasDataValue " &amp; quote('PM1'!AI7) &amp; " ^^xsd:decimal ;  gsoc:hasUOM [ a gsuom:meter ]] ] ;   ", "  gsoc:hasValue [a gsoc:Quality_Range ;  gsoc:hasStartValue [ a gsoc:Numeric_Value ;  gsoc:hasDataValue " &amp; quote('PM1'!AI7) &amp; "^^xsd:decimal ;  gsoc:hasUOM [ a gsuom:meter ] ] ;   gsoc:hasEndValue [ a gsoc:Numeric_Value ; gsoc:hasDataValue " &amp; quote('PM1'!AJ7)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"85"^^xsd:decimal ;   gsoc:hasUOM [ a gsuom:meter ]] ; ]  ] ;   </v>
      </c>
      <c r="G7" s="7" t="str">
        <f>" gsoc:hasSetting [ a  "  &amp; PaleoenvURI &amp;  "  ] ;  "  &amp; makeComment('PM1'!AN7) &amp; "  " &amp; makeComment('PM1'!AO7) &amp;  ".  "</f>
        <v xml:space="preserve"> gsoc:hasSetting [ a  gsen:Subaerial_Setting, gsen:Lacustrine_Setting  ] ;  rdfs:comment "Shallow freshwater &amp; subaerial"@en ;  rdfs:comment "ISBN:9780751837773, ISBN:9780852727720, DOI:10.1144/GOEWP"@en ;.  </v>
      </c>
      <c r="H7" s="7" t="str">
        <f t="shared" si="2"/>
        <v xml:space="preserve">iwh:BaseBembridgeLimestone  a gsog:Rock_Body_Boundary ;  gsoc:hostedBy iwh:strat-BEL;   gsoc:isParticipantIn [ a gspr:Deposition ]  .  </v>
      </c>
      <c r="I7" s="7" t="str">
        <f t="shared" si="3"/>
        <v xml:space="preserve">iwh:TopBembridgeLimestone a gsog:Rock_Body_Boundary ;   gsoc:hostedBy iwh:strat-BEL ;   gsoc:isParticipantIn [ a gspr:Deposition_Hiatus ]  .  </v>
      </c>
      <c r="J7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VLOOKUP(UPPER(RIGHT('PM1'!Q7, LEN('PM1'!Q7) - FIND("on_", 'PM1'!Q7) - 2)),LookupAbbrev,2, FALSE)  &amp;  """@en ;   " &amp; makeComment('PM1'!W7) &amp; ".  "</f>
        <v xml:space="preserve">iwh:contact_bel_on_hehi   a gscn:Unconformable_Contact ;     gsoc:hasOlderHost  iwh:strat-HEHI ;   gsoc:hasYoungerHost iwh:BaseBembridgeLimestone  ;  gsoc:hasYoungerHost iwh:strat-BEL  ;  rdfs:label  "Bembridge Limestone, Solent Group  overlies Headon Hill"@en ;   rdfs:comment "Erosional"@en ;.  </v>
      </c>
      <c r="K7" s="7" t="str">
        <f t="shared" si="4"/>
        <v xml:space="preserve">iwh:strat-BEL  a gsog:Formation ;  rdfs:label  "Bembridge Limestone,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iwh:strat-SOLT ;  gsoc:hasPart iwh:BaseBembridgeLimestone ;  gsog:overlies iwh:strat-HEHI ;  gsog:hasMaterialConstituent [ a gslth:Limestone ;   gsoc:hasQuality [ a gsoc:Proportion; gsoc:hasValue [a gsoq:Dominant_Constituent ]  ]] ;  gsog:hasMaterialConstituent [ a gslth:Generic_Mudstone  ;    gsoc:hasQuality [ a gsoc:Proportion ; gsoc:hasValue [a gsoq:Subordinate_Constituent ]  ] ] ; rdfs:comment "shelly"@en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"85"^^xsd:decimal ;   gsoc:hasUOM [ a gsuom:meter ]] ; ]  ] ;    gsoc:hasSetting [ a  gsen:Subaerial_Setting, gsen:Lacustrine_Setting  ] ;  rdfs:comment "Shallow freshwater &amp; subaerial"@en ;  rdfs:comment "ISBN:9780751837773, ISBN:9780852727720, DOI:10.1144/GOEWP"@en ;.  iwh:BaseBembridgeLimestone  a gsog:Rock_Body_Boundary ;  gsoc:hostedBy iwh:strat-BEL;   gsoc:isParticipantIn [ a gspr:Deposition ]  .  iwh:TopBembridgeLimestone a gsog:Rock_Body_Boundary ;   gsoc:hostedBy iwh:strat-BEL ;   gsoc:isParticipantIn [ a gspr:Deposition_Hiatus ]  .  iwh:contact_bel_on_hehi   a gscn:Unconformable_Contact ;     gsoc:hasOlderHost  iwh:strat-HEHI ;   gsoc:hasYoungerHost iwh:BaseBembridgeLimestone  ;  gsoc:hasYoungerHost iwh:strat-BEL  ;  rdfs:label  "Bembridge Limestone, Solent Group  overlies Headon Hill"@en ;   rdfs:comment "Erosional"@en ;.  </v>
      </c>
    </row>
    <row r="8" spans="1:12" ht="165" x14ac:dyDescent="0.25">
      <c r="A8" s="7" t="str">
        <f t="shared" si="0"/>
        <v xml:space="preserve">iwh:strat-HEHI  a gsog:Formation ;  rdfs:label  "Headon Hill Formation, Solent Group"@en ;  </v>
      </c>
      <c r="B8" s="7" t="str">
        <f>"gsoq:indirectTemporalOccupies  gstime:" &amp; AgeMin &amp; "; " &amp;makeComment('PM1'!P8) &amp; "  "</f>
        <v xml:space="preserve">gsoq:indirectTemporalOccupies  gstime:Priabonian; rdfs:comment "HookerEtAl, 2009, DOI: 10.1130/2009.2452(12)"@en ;  </v>
      </c>
      <c r="C8" s="7" t="str">
        <f>"gsoc:isParticipantIn [  a gspr:Deposition; rdfs:label " &amp; quote( "Deposition during " &amp;'PM1'!N8)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8" s="7" t="str">
        <f t="shared" si="1"/>
        <v xml:space="preserve">gsoc:isPartOf iwh:strat-SOLT ;  gsoc:hasPart iwh:BaseHeadonHill ;  gsog:overlies iwh:strat-BECS ;  </v>
      </c>
      <c r="E8" s="7" t="str">
        <f>"gsog:hasMaterialConstituent [ a " &amp; DominantLithURI &amp; " ;   gsoc:hasQuality [ a gsoc:Proportion; gsoc:hasValue [a gsoq:Dominant_Constituent ]  ]] ;  " &amp;  IF(ISBLANK( 'PM1'!AC8), "", "gsog:hasMaterialConstituent [ a " &amp; SubordinateLithURI &amp; "  ;    gsoc:hasQuality [ a gsoc:Proportion ; gsoc:hasValue [a gsoq:Subordinate_Constituent ]  ] ] ; ")  &amp; makeComment('PM1'!AH8) &amp;  "  "</f>
        <v xml:space="preserve">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"Interbedded silty clay, clayey sand, rare thin limestone; lignite; shelly"@en ;  </v>
      </c>
      <c r="F8" s="7" t="str">
        <f>" gsoc:hasQuality [  a gsoq:Thickness ;	  gsoc:determinedBy [	a gsoc:Observation ; gsoc:hasDataValue " &amp; quote('PM1'!AK9 ) &amp; "@en ] ;  " &amp; IF(ISBLANK('PM1'!AJ8), " gsoc:hasValue [ a gsoc:Numeric_Value ; gsoc:hasDataValue " &amp; quote('PM1'!AI8) &amp; " ^^xsd:decimal ;  gsoc:hasUOM [ a gsuom:meter ]] ] ;   ", "  gsoc:hasValue [a gsoc:Quality_Range ;  gsoc:hasStartValue [ a gsoc:Numeric_Value ;  gsoc:hasDataValue " &amp; quote('PM1'!AI8) &amp; "^^xsd:decimal ;  gsoc:hasUOM [ a gsuom:meter ] ] ;   gsoc:hasEndValue [ a gsoc:Numeric_Value ; gsoc:hasDataValue " &amp; quote('PM1'!AJ8)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"90"^^xsd:decimal ;   gsoc:hasUOM [ a gsuom:meter ]] ; ]  ] ;   </v>
      </c>
      <c r="G8" s="7" t="str">
        <f>" gsoc:hasSetting [ a  "  &amp; PaleoenvURI &amp;  "  ] ;  "  &amp; makeComment('PM1'!AN8) &amp; "  " &amp; makeComment('PM1'!AO8) &amp;  ".  "</f>
        <v xml:space="preserve"> gsoc:hasSetting [ a  gsen:Lacustrine_Setting, gsen:River_Plain_System_Setting, gsen:Marine_Setting  ] ;  rdfs:comment "Mainly freshwater (lacustrine/fluvial), locally open marine"@en ;  rdfs:comment "ISBN:9780751837773, ISBN:9780852727720, DOI:10.1144/GOEWP"@en ;.  </v>
      </c>
      <c r="H8" s="7" t="str">
        <f t="shared" si="2"/>
        <v xml:space="preserve">iwh:BaseHeadonHill  a gsog:Rock_Body_Boundary ;  gsoc:hostedBy iwh:strat-HEHI;   gsoc:isParticipantIn [ a gspr:Deposition ]  .  </v>
      </c>
      <c r="I8" s="7" t="str">
        <f t="shared" si="3"/>
        <v xml:space="preserve">iwh:TopHeadonHill a gsog:Rock_Body_Boundary ;   gsoc:hostedBy iwh:strat-HEHI ;   gsoc:isParticipantIn [ a gspr:Erosion ]  .  </v>
      </c>
      <c r="J8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VLOOKUP(UPPER(RIGHT('PM1'!Q8, LEN('PM1'!Q8) - FIND("on_", 'PM1'!Q8) - 2)),LookupAbbrev,2, FALSE)  &amp;  """@en ;   " &amp; makeComment('PM1'!W8) &amp; ".  "</f>
        <v xml:space="preserve">iwh:contact_hehi_on_becs   a gscn:Conformable_Contact ;     gsoc:hasOlderHost  iwh:strat-BECS ;   gsoc:hasYoungerHost iwh:BaseHeadonHill  ;  gsoc:hasYoungerHost iwh:strat-HEHI  ;  rdfs:label  "Headon Hill Formation, Solent Group  overlies Becton Sand"@en ;   rdfs:comment "Normal"@en ;.  </v>
      </c>
      <c r="K8" s="7" t="str">
        <f t="shared" si="4"/>
        <v xml:space="preserve">iwh:strat-HEHI  a gsog:Formation ;  rdfs:label  "Headon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iwh:strat-SOLT ;  gsoc:hasPart iwh:BaseHeadonHill ;  gsog:overlies iwh:strat-BECS ;  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"Interbedded silty clay, clayey sand, rare thin limestone; lignite; shelly"@en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"90"^^xsd:decimal ;   gsoc:hasUOM [ a gsuom:meter ]] ; ]  ] ;    gsoc:hasSetting [ a  gsen:Lacustrine_Setting, gsen:River_Plain_System_Setting, gsen:Marine_Setting  ] ;  rdfs:comment "Mainly freshwater (lacustrine/fluvial), locally open marine"@en ;  rdfs:comment "ISBN:9780751837773, ISBN:9780852727720, DOI:10.1144/GOEWP"@en ;.  iwh:BaseHeadonHill  a gsog:Rock_Body_Boundary ;  gsoc:hostedBy iwh:strat-HEHI;   gsoc:isParticipantIn [ a gspr:Deposition ]  .  iwh:TopHeadonHill a gsog:Rock_Body_Boundary ;   gsoc:hostedBy iwh:strat-HEHI ;   gsoc:isParticipantIn [ a gspr:Erosion ]  .  iwh:contact_hehi_on_becs   a gscn:Conformable_Contact ;     gsoc:hasOlderHost  iwh:strat-BECS ;   gsoc:hasYoungerHost iwh:BaseHeadonHill  ;  gsoc:hasYoungerHost iwh:strat-HEHI  ;  rdfs:label  "Headon Hill Formation, Solent Group  overlies Becton Sand"@en ;   rdfs:comment "Normal"@en ;.  </v>
      </c>
    </row>
    <row r="9" spans="1:12" ht="150" x14ac:dyDescent="0.25">
      <c r="A9" s="7" t="str">
        <f t="shared" si="0"/>
        <v xml:space="preserve">iwh:strat-SEAB  a gsog:Member ;  rdfs:label  "Seagrove Bay Member of Headon Hill Formation, Solent Group"@en ;  </v>
      </c>
      <c r="B9" s="7" t="str">
        <f>"gsoq:indirectTemporalOccupies  gstime:" &amp; AgeMin &amp; "; " &amp;makeComment('PM1'!P9) &amp; "  "</f>
        <v xml:space="preserve">gsoq:indirectTemporalOccupies  gstime:Priabonian; rdfs:comment "HookerEtAl, 2009, DOI: 10.1130/2009.2452(12)"@en ;  </v>
      </c>
      <c r="C9" s="7" t="str">
        <f>"gsoc:isParticipantIn [  a gspr:Deposition; rdfs:label " &amp; quote( "Deposition during " &amp;'PM1'!N9)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9" s="7" t="str">
        <f t="shared" si="1"/>
        <v xml:space="preserve">gsoc:isPartOf iwh:strat-HEHI ;  gsoc:hasPart iwh:BaseSeagroveBay ;  gsog:overlies iwh:strat-OSB ;  </v>
      </c>
      <c r="E9" s="7" t="str">
        <f>"gsog:hasMaterialConstituent [ a " &amp; DominantLithURI &amp; " ;   gsoc:hasQuality [ a gsoc:Proportion; gsoc:hasValue [a gsoq:Dominant_Constituent ]  ]] ;  " &amp;  IF(ISBLANK( 'PM1'!AC9), "", "gsog:hasMaterialConstituent [ a " &amp; SubordinateLithURI &amp; "  ;    gsoc:hasQuality [ a gsoc:Proportion ; gsoc:hasValue [a gsoq:Subordinate_Constituent ]  ] ] ; ")  &amp; makeComment('PM1'!AH9) &amp;  "  "</f>
        <v xml:space="preserve">gsog:hasMaterialConstituent [ a gslth:Generic_Mudstone ;   gsoc:hasQuality [ a gsoc:Proportion; gsoc:hasValue [a gsoq:Dominant_Constituent ]  ]] ;  rdfs:comment "Thin siltstone &amp; sandstone beds; lignitic locally"@en ;  </v>
      </c>
      <c r="F9" s="7" t="str">
        <f>" gsoc:hasQuality [  a gsoq:Thickness ;	  gsoc:determinedBy [	a gsoc:Observation ; gsoc:hasDataValue " &amp; quote('PM1'!AK10 ) &amp; "@en ] ;  " &amp; IF(ISBLANK('PM1'!AJ9), " gsoc:hasValue [ a gsoc:Numeric_Value ; gsoc:hasDataValue " &amp; quote('PM1'!AI9) &amp; " ^^xsd:decimal ;  gsoc:hasUOM [ a gsuom:meter ]] ] ;   ", "  gsoc:hasValue [a gsoc:Quality_Range ;  gsoc:hasStartValue [ a gsoc:Numeric_Value ;  gsoc:hasDataValue " &amp; quote('PM1'!AI9) &amp; "^^xsd:decimal ;  gsoc:hasUOM [ a gsuom:meter ] ] ;   gsoc:hasEndValue [ a gsoc:Numeric_Value ; gsoc:hasDataValue " &amp; quote('PM1'!AJ9)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"9.5"^^xsd:decimal ;   gsoc:hasUOM [ a gsuom:meter ]] ; ]  ] ;   </v>
      </c>
      <c r="G9" s="7" t="str">
        <f>" gsoc:hasSetting [ a  "  &amp; PaleoenvURI &amp;  "  ] ;  "  &amp; makeComment('PM1'!AN9) &amp; "  " &amp; makeComment('PM1'!AO9) &amp;  ".  "</f>
        <v xml:space="preserve"> gsoc:hasSetting [ a  gsen:River_Plain_System_Setting  ] ;  rdfs:comment "Fluvial"@en ;  rdfs:comment "ISBN:9780751837773, ISBN:9780852727720, DOI:10.1144/GOEWP"@en ;.  </v>
      </c>
      <c r="H9" s="7" t="str">
        <f t="shared" si="2"/>
        <v xml:space="preserve">iwh:BaseSeagroveBay  a gsog:Rock_Body_Boundary ;  gsoc:hostedBy iwh:strat-SEAB;   gsoc:isParticipantIn [ a gspr:Deposition ]  .  </v>
      </c>
      <c r="I9" s="7" t="str">
        <f t="shared" si="3"/>
        <v xml:space="preserve">iwh:TopHeadonHill a gsog:Rock_Body_Boundary ;   gsoc:hostedBy iwh:strat-SEAB ;   gsoc:isParticipantIn [ a gspr:Erosion ]  .  </v>
      </c>
      <c r="J9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VLOOKUP(UPPER(RIGHT('PM1'!Q9, LEN('PM1'!Q9) - FIND("on_", 'PM1'!Q9) - 2)),LookupAbbrev,2, FALSE)  &amp;  """@en ;   " &amp; makeComment('PM1'!W9) &amp; ".  "</f>
        <v xml:space="preserve">iwh:contact_seab_on_osb   a gscn:Conformable_Contact ;     gsoc:hasOlderHost  iwh:strat-OSB ;   gsoc:hasYoungerHost iwh:BaseSeagroveBay  ;  gsoc:hasYoungerHost iwh:strat-SEAB  ;  rdfs:label  "Seagrove Bay Member of Headon Hill Formation, Solent Group  overlies Osborne"@en ;   rdfs:comment "Normal"@en ;.  </v>
      </c>
      <c r="K9" s="7" t="str">
        <f t="shared" si="4"/>
        <v xml:space="preserve">iwh:strat-SEAB  a gsog:Member ;  rdfs:label  "Seagrove Bay Member of 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iwh:strat-HEHI ;  gsoc:hasPart iwh:BaseSeagroveBay ;  gsog:overlies iwh:strat-OSB ;  gsog:hasMaterialConstituent [ a gslth:Generic_Mudstone ;   gsoc:hasQuality [ a gsoc:Proportion; gsoc:hasValue [a gsoq:Dominant_Constituent ]  ]] ;  rdfs:comment "Thin siltstone &amp; sandstone beds; lignitic locally"@en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"9.5"^^xsd:decimal ;   gsoc:hasUOM [ a gsuom:meter ]] ; ]  ] ;    gsoc:hasSetting [ a  gsen:River_Plain_System_Setting  ] ;  rdfs:comment "Fluvial"@en ;  rdfs:comment "ISBN:9780751837773, ISBN:9780852727720, DOI:10.1144/GOEWP"@en ;.  iwh:BaseSeagroveBay  a gsog:Rock_Body_Boundary ;  gsoc:hostedBy iwh:strat-SEAB;   gsoc:isParticipantIn [ a gspr:Deposition ]  .  iwh:TopHeadonHill a gsog:Rock_Body_Boundary ;   gsoc:hostedBy iwh:strat-SEAB ;   gsoc:isParticipantIn [ a gspr:Erosion ]  .  iwh:contact_seab_on_osb   a gscn:Conformable_Contact ;     gsoc:hasOlderHost  iwh:strat-OSB ;   gsoc:hasYoungerHost iwh:BaseSeagroveBay  ;  gsoc:hasYoungerHost iwh:strat-SEAB  ;  rdfs:label  "Seagrove Bay Member of Headon Hill Formation, Solent Group  overlies Osborne"@en ;   rdfs:comment "Normal"@en ;.  </v>
      </c>
    </row>
    <row r="10" spans="1:12" ht="150" x14ac:dyDescent="0.25">
      <c r="A10" s="7" t="str">
        <f t="shared" si="0"/>
        <v xml:space="preserve">iwh:strat-OSB  a gsog:Member ;  rdfs:label  "Osborne Member of Headon Hill Formation, Solent Group"@en ;  </v>
      </c>
      <c r="B10" s="7" t="str">
        <f>"gsoq:indirectTemporalOccupies  gstime:" &amp; AgeMin &amp; "; " &amp;makeComment('PM1'!P10) &amp; "  "</f>
        <v xml:space="preserve">gsoq:indirectTemporalOccupies  gstime:Priabonian; rdfs:comment "HookerEtAl, 2009, DOI: 10.1130/2009.2452(12)"@en ;  </v>
      </c>
      <c r="C10" s="7" t="str">
        <f>"gsoc:isParticipantIn [  a gspr:Deposition; rdfs:label " &amp; quote( "Deposition during " &amp;'PM1'!N10)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10" s="7" t="str">
        <f t="shared" si="1"/>
        <v xml:space="preserve">gsoc:isPartOf iwh:strat-HEHI ;  gsoc:hasPart iwh:BaseOsborne ;  gsog:overlies iwh:strat-FISH ;  </v>
      </c>
      <c r="E10" s="7" t="str">
        <f>"gsog:hasMaterialConstituent [ a " &amp; DominantLithURI &amp; " ;   gsoc:hasQuality [ a gsoc:Proportion; gsoc:hasValue [a gsoq:Dominant_Constituent ]  ]] ;  " &amp;  IF(ISBLANK( 'PM1'!AC10), "", "gsog:hasMaterialConstituent [ a " &amp; SubordinateLithURI &amp; "  ;    gsoc:hasQuality [ a gsoc:Proportion ; gsoc:hasValue [a gsoq:Subordinate_Constituent ]  ] ] ; ")  &amp; makeComment('PM1'!AH10) &amp;  "  "</f>
        <v xml:space="preserve">gsog:hasMaterialConstituent [ a gslth:Generic_Mudstone ;   gsoc:hasQuality [ a gsoc:Proportion; gsoc:hasValue [a gsoq:Dominant_Constituent ]  ]] ;  rdfs:comment ""@en ;  </v>
      </c>
      <c r="F10" s="7" t="str">
        <f>" gsoc:hasQuality [  a gsoq:Thickness ;	  gsoc:determinedBy [	a gsoc:Observation ; gsoc:hasDataValue " &amp; quote('PM1'!AK11 ) &amp; "@en ] ;  " &amp; IF(ISBLANK('PM1'!AJ10), " gsoc:hasValue [ a gsoc:Numeric_Value ; gsoc:hasDataValue " &amp; quote('PM1'!AI10) &amp; " ^^xsd:decimal ;  gsoc:hasUOM [ a gsuom:meter ]] ] ;   ", "  gsoc:hasValue [a gsoc:Quality_Range ;  gsoc:hasStartValue [ a gsoc:Numeric_Value ;  gsoc:hasDataValue " &amp; quote('PM1'!AI10) &amp; "^^xsd:decimal ;  gsoc:hasUOM [ a gsuom:meter ] ] ;   gsoc:hasEndValue [ a gsoc:Numeric_Value ; gsoc:hasDataValue " &amp; quote('PM1'!AJ10)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"10.7"^^xsd:decimal ;   gsoc:hasUOM [ a gsuom:meter ]] ; ]  ] ;   </v>
      </c>
      <c r="G10" s="7" t="str">
        <f>" gsoc:hasSetting [ a  "  &amp; PaleoenvURI &amp;  "  ] ;  "  &amp; makeComment('PM1'!AN10) &amp; "  " &amp; makeComment('PM1'!AO10) &amp;  ".  "</f>
        <v xml:space="preserve"> gsoc:hasSetting [ a  gsen:Swamp_Or_Marsh_Setting  ] ;  rdfs:comment "Freshwater/brackish with pedogenized clays"@en ;  rdfs:comment "ISBN:9780751837773, ISBN:9780852727720, DOI:10.1144/GOEWP"@en ;.  </v>
      </c>
      <c r="H10" s="7" t="str">
        <f t="shared" si="2"/>
        <v xml:space="preserve">iwh:BaseOsborne  a gsog:Rock_Body_Boundary ;  gsoc:hostedBy iwh:strat-OSB;   gsoc:isParticipantIn [ a gspr:Deposition ]  .  </v>
      </c>
      <c r="I10" s="7" t="str">
        <f t="shared" si="3"/>
        <v xml:space="preserve">iwh:TopOsborne a gsog:Rock_Body_Boundary ;   gsoc:hostedBy iwh:strat-OSB ;   gsoc:isParticipantIn [ a gspr:Deposition ]  .  </v>
      </c>
      <c r="J10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VLOOKUP(UPPER(RIGHT('PM1'!Q10, LEN('PM1'!Q10) - FIND("on_", 'PM1'!Q10) - 2)),LookupAbbrev,2, FALSE)  &amp;  """@en ;   " &amp; makeComment('PM1'!W10) &amp; ".  "</f>
        <v xml:space="preserve">iwh:contact_osb_on_fish   a gscn:Conformable_Contact ;     gsoc:hasOlderHost  iwh:strat-FISH ;   gsoc:hasYoungerHost iwh:BaseOsborne  ;  gsoc:hasYoungerHost iwh:strat-OSB  ;  rdfs:label  "Osborne Member of Headon Hill Formation, Solent Group  overlies Fishbourne"@en ;   rdfs:comment "Normal"@en ;.  </v>
      </c>
      <c r="K10" s="7" t="str">
        <f t="shared" si="4"/>
        <v xml:space="preserve">iwh:strat-OSB  a gsog:Member ;  rdfs:label  "Osborne Member of 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iwh:strat-HEHI ;  gsoc:hasPart iwh:BaseOsborne ;  gsog:overlies iwh:strat-FISH ;  gsog:hasMaterialConstituent [ a gslth:Generic_Mudstone ;   gsoc:hasQuality [ a gsoc:Proportion; gsoc:hasValue [a gsoq:Dominant_Constituent ]  ]] ;  rdfs:comment ""@en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"10.7"^^xsd:decimal ;   gsoc:hasUOM [ a gsuom:meter ]] ; ]  ] ;    gsoc:hasSetting [ a  gsen:Swamp_Or_Marsh_Setting  ] ;  rdfs:comment "Freshwater/brackish with pedogenized clays"@en ;  rdfs:comment "ISBN:9780751837773, ISBN:9780852727720, DOI:10.1144/GOEWP"@en ;.  iwh:BaseOsborne  a gsog:Rock_Body_Boundary ;  gsoc:hostedBy iwh:strat-OSB;   gsoc:isParticipantIn [ a gspr:Deposition ]  .  iwh:TopOsborne a gsog:Rock_Body_Boundary ;   gsoc:hostedBy iwh:strat-OSB ;   gsoc:isParticipantIn [ a gspr:Deposition ]  .  iwh:contact_osb_on_fish   a gscn:Conformable_Contact ;     gsoc:hasOlderHost  iwh:strat-FISH ;   gsoc:hasYoungerHost iwh:BaseOsborne  ;  gsoc:hasYoungerHost iwh:strat-OSB  ;  rdfs:label  "Osborne Member of Headon Hill Formation, Solent Group  overlies Fishbourne"@en ;   rdfs:comment "Normal"@en ;.  </v>
      </c>
    </row>
    <row r="11" spans="1:12" ht="150" x14ac:dyDescent="0.25">
      <c r="A11" s="7" t="str">
        <f t="shared" si="0"/>
        <v xml:space="preserve">iwh:strat-FISH  a gsog:Member ;  rdfs:label  "Fishbourne Member of Headon Hill Formation, Solent Group"@en ;  </v>
      </c>
      <c r="B11" s="7" t="str">
        <f>"gsoq:indirectTemporalOccupies  gstime:" &amp; AgeMin &amp; "; " &amp;makeComment('PM1'!P11) &amp; "  "</f>
        <v xml:space="preserve">gsoq:indirectTemporalOccupies  gstime:Priabonian; rdfs:comment "HookerEtAl, 2009, DOI: 10.1130/2009.2452(12)"@en ;  </v>
      </c>
      <c r="C11" s="7" t="str">
        <f>"gsoc:isParticipantIn [  a gspr:Deposition; rdfs:label " &amp; quote( "Deposition during " &amp;'PM1'!N11)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11" s="7" t="str">
        <f t="shared" si="1"/>
        <v xml:space="preserve">gsoc:isPartOf iwh:strat-HEHI ;  gsoc:hasPart iwh:BaseFishbourne ;  gsog:overlies iwh:strat-LAFM ;  </v>
      </c>
      <c r="E11" s="7" t="str">
        <f>"gsog:hasMaterialConstituent [ a " &amp; DominantLithURI &amp; " ;   gsoc:hasQuality [ a gsoc:Proportion; gsoc:hasValue [a gsoq:Dominant_Constituent ]  ]] ;  " &amp;  IF(ISBLANK( 'PM1'!AC11), "", "gsog:hasMaterialConstituent [ a " &amp; SubordinateLithURI &amp; "  ;    gsoc:hasQuality [ a gsoc:Proportion ; gsoc:hasValue [a gsoq:Subordinate_Constituent ]  ] ] ; ")  &amp; makeComment('PM1'!AH11) &amp;  "  "</f>
        <v xml:space="preserve">gsog:hasMaterialConstituent [ a gslth:Generic_Mudstone ;   gsoc:hasQuality [ a gsoc:Proportion; gsoc:hasValue [a gsoq:Dominant_Constituent ]  ]] ;  rdfs:comment "Very shelly"@en ;  </v>
      </c>
      <c r="F11" s="7" t="str">
        <f>" gsoc:hasQuality [  a gsoq:Thickness ;	  gsoc:determinedBy [	a gsoc:Observation ; gsoc:hasDataValue " &amp; quote('PM1'!AK12 ) &amp; "@en ] ;  " &amp; IF(ISBLANK('PM1'!AJ11), " gsoc:hasValue [ a gsoc:Numeric_Value ; gsoc:hasDataValue " &amp; quote('PM1'!AI11) &amp; " ^^xsd:decimal ;  gsoc:hasUOM [ a gsuom:meter ]] ] ;   ", "  gsoc:hasValue [a gsoc:Quality_Range ;  gsoc:hasStartValue [ a gsoc:Numeric_Value ;  gsoc:hasDataValue " &amp; quote('PM1'!AI11) &amp; "^^xsd:decimal ;  gsoc:hasUOM [ a gsuom:meter ] ] ;   gsoc:hasEndValue [ a gsoc:Numeric_Value ; gsoc:hasDataValue " &amp; quote('PM1'!AJ11)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"10.7"^^xsd:decimal ;   gsoc:hasUOM [ a gsuom:meter ]] ; ]  ] ;   </v>
      </c>
      <c r="G11" s="7" t="str">
        <f>" gsoc:hasSetting [ a  "  &amp; PaleoenvURI &amp;  "  ] ;  "  &amp; makeComment('PM1'!AN11) &amp; "  " &amp; makeComment('PM1'!AO11) &amp;  ".  "</f>
        <v xml:space="preserve"> gsoc:hasSetting [ a  gsen:Swamp_Or_Marsh_Setting  ] ;  rdfs:comment "Freshwater/brackish with pedogenized clays"@en ;  rdfs:comment "ISBN:9780751837773, ISBN:9780852727720, DOI:10.1144/GOEWP"@en ;.  </v>
      </c>
      <c r="H11" s="7" t="str">
        <f t="shared" si="2"/>
        <v xml:space="preserve">iwh:BaseFishbourne  a gsog:Rock_Body_Boundary ;  gsoc:hostedBy iwh:strat-FISH;   gsoc:isParticipantIn [ a gspr:Deposition ]  .  </v>
      </c>
      <c r="I11" s="7" t="str">
        <f t="shared" si="3"/>
        <v xml:space="preserve">iwh:TopFishbourne a gsog:Rock_Body_Boundary ;   gsoc:hostedBy iwh:strat-FISH ;   gsoc:isParticipantIn [ a gspr:Deposition ]  .  </v>
      </c>
      <c r="J11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VLOOKUP(UPPER(RIGHT('PM1'!Q11, LEN('PM1'!Q11) - FIND("on_", 'PM1'!Q11) - 2)),LookupAbbrev,2, FALSE)  &amp;  """@en ;   " &amp; makeComment('PM1'!W11) &amp; ".  "</f>
        <v xml:space="preserve">iwh:contact_fish_on_lafm   a gscn:Conformable_Contact ;     gsoc:hasOlderHost  iwh:strat-LAFM ;   gsoc:hasYoungerHost iwh:BaseFishbourne  ;  gsoc:hasYoungerHost iwh:strat-FISH  ;  rdfs:label  "Fishbourne Member of Headon Hill Formation, Solent Group  overlies Lacy's Farm Limestone"@en ;   rdfs:comment "Normal"@en ;.  </v>
      </c>
      <c r="K11" s="7" t="str">
        <f t="shared" si="4"/>
        <v xml:space="preserve">iwh:strat-FISH  a gsog:Member ;  rdfs:label  "Fishbourne Member of 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iwh:strat-HEHI ;  gsoc:hasPart iwh:BaseFishbourne ;  gsog:overlies iwh:strat-LAFM ;  gsog:hasMaterialConstituent [ a gslth:Generic_Mudstone ;   gsoc:hasQuality [ a gsoc:Proportion; gsoc:hasValue [a gsoq:Dominant_Constituent ]  ]] ;  rdfs:comment "Very shelly"@en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"10.7"^^xsd:decimal ;   gsoc:hasUOM [ a gsuom:meter ]] ; ]  ] ;    gsoc:hasSetting [ a  gsen:Swamp_Or_Marsh_Setting  ] ;  rdfs:comment "Freshwater/brackish with pedogenized clays"@en ;  rdfs:comment "ISBN:9780751837773, ISBN:9780852727720, DOI:10.1144/GOEWP"@en ;.  iwh:BaseFishbourne  a gsog:Rock_Body_Boundary ;  gsoc:hostedBy iwh:strat-FISH;   gsoc:isParticipantIn [ a gspr:Deposition ]  .  iwh:TopFishbourne a gsog:Rock_Body_Boundary ;   gsoc:hostedBy iwh:strat-FISH ;   gsoc:isParticipantIn [ a gspr:Deposition ]  .  iwh:contact_fish_on_lafm   a gscn:Conformable_Contact ;     gsoc:hasOlderHost  iwh:strat-LAFM ;   gsoc:hasYoungerHost iwh:BaseFishbourne  ;  gsoc:hasYoungerHost iwh:strat-FISH  ;  rdfs:label  "Fishbourne Member of Headon Hill Formation, Solent Group  overlies Lacy's Farm Limestone"@en ;   rdfs:comment "Normal"@en ;.  </v>
      </c>
    </row>
    <row r="12" spans="1:12" ht="165" x14ac:dyDescent="0.25">
      <c r="A12" s="7" t="str">
        <f t="shared" si="0"/>
        <v xml:space="preserve">iwh:strat-LAFM  a gsog:Member ;  rdfs:label  "Lacy's Farm Limestone Member of Headon Hill Formation, Solent Group"@en ;  </v>
      </c>
      <c r="B12" s="7" t="str">
        <f>"gsoq:indirectTemporalOccupies  gstime:" &amp; AgeMin &amp; "; " &amp;makeComment('PM1'!P12) &amp; "  "</f>
        <v xml:space="preserve">gsoq:indirectTemporalOccupies  gstime:Priabonian; rdfs:comment "HookerEtAl, 2009, DOI: 10.1130/2009.2452(12)"@en ;  </v>
      </c>
      <c r="C12" s="7" t="str">
        <f>"gsoc:isParticipantIn [  a gspr:Deposition; rdfs:label " &amp; quote( "Deposition during " &amp;'PM1'!N12)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12" s="7" t="str">
        <f t="shared" si="1"/>
        <v xml:space="preserve">gsoc:isPartOf iwh:strat-HEHI ;  gsoc:hasPart iwh:BaseLacysFarmLimestone ;  gsog:overlies iwh:strat-CLEN ;  </v>
      </c>
      <c r="E12" s="7" t="str">
        <f>"gsog:hasMaterialConstituent [ a " &amp; DominantLithURI &amp; " ;   gsoc:hasQuality [ a gsoc:Proportion; gsoc:hasValue [a gsoq:Dominant_Constituent ]  ]] ;  " &amp;  IF(ISBLANK( 'PM1'!AC12), "", "gsog:hasMaterialConstituent [ a " &amp; SubordinateLithURI &amp; "  ;    gsoc:hasQuality [ a gsoc:Proportion ; gsoc:hasValue [a gsoq:Subordinate_Constituent ]  ] ] ; ")  &amp; makeComment('PM1'!AH12) &amp;  "  "</f>
        <v xml:space="preserve">gsog:hasMaterialConstituent [ a gslth:Generic_Mudstone ;   gsoc:hasQuality [ a gsoc:Proportion; gsoc:hasValue [a gsoq:Dominant_Constituent ]  ]] ;  gsog:hasMaterialConstituent [ a gslth:Limestone  ;    gsoc:hasQuality [ a gsoc:Proportion ; gsoc:hasValue [a gsoq:Subordinate_Constituent ]  ] ] ; rdfs:comment ""@en ;  </v>
      </c>
      <c r="F12" s="7" t="str">
        <f>" gsoc:hasQuality [  a gsoq:Thickness ;	  gsoc:determinedBy [	a gsoc:Observation ; gsoc:hasDataValue " &amp; quote('PM1'!AK13 ) &amp; "@en ] ;  " &amp; IF(ISBLANK('PM1'!AJ12), " gsoc:hasValue [ a gsoc:Numeric_Value ; gsoc:hasDataValue " &amp; quote('PM1'!AI12) &amp; " ^^xsd:decimal ;  gsoc:hasUOM [ a gsuom:meter ]] ] ;   ", "  gsoc:hasValue [a gsoc:Quality_Range ;  gsoc:hasStartValue [ a gsoc:Numeric_Value ;  gsoc:hasDataValue " &amp; quote('PM1'!AI12) &amp; "^^xsd:decimal ;  gsoc:hasUOM [ a gsuom:meter ] ] ;   gsoc:hasEndValue [ a gsoc:Numeric_Value ; gsoc:hasDataValue " &amp; quote('PM1'!AJ12)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"6.7"^^xsd:decimal ;   gsoc:hasUOM [ a gsuom:meter ]] ; ]  ] ;   </v>
      </c>
      <c r="G12" s="7" t="str">
        <f>" gsoc:hasSetting [ a  "  &amp; PaleoenvURI &amp;  "  ] ;  "  &amp; makeComment('PM1'!AN12) &amp; "  " &amp; makeComment('PM1'!AO12) &amp;  ".  "</f>
        <v xml:space="preserve"> gsoc:hasSetting [ a  gsen:Lacustrine_Setting  ] ;  rdfs:comment "Freshwater lacustrine"@en ;  rdfs:comment "ISBN:9780751837773, ISBN:9780852727720, DOI:10.1144/GOEWP"@en ;.  </v>
      </c>
      <c r="H12" s="7" t="str">
        <f t="shared" si="2"/>
        <v xml:space="preserve">iwh:BaseLacysFarmLimestone  a gsog:Rock_Body_Boundary ;  gsoc:hostedBy iwh:strat-LAFM;   gsoc:isParticipantIn [ a gspr:Deposition ]  .  </v>
      </c>
      <c r="I12" s="7" t="str">
        <f t="shared" si="3"/>
        <v xml:space="preserve">iwh:TopLacysFarmLimestone a gsog:Rock_Body_Boundary ;   gsoc:hostedBy iwh:strat-LAFM ;   gsoc:isParticipantIn [ a gspr:Deposition ]  .  </v>
      </c>
      <c r="J12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VLOOKUP(UPPER(RIGHT('PM1'!Q12, LEN('PM1'!Q12) - FIND("on_", 'PM1'!Q12) - 2)),LookupAbbrev,2, FALSE)  &amp;  """@en ;   " &amp; makeComment('PM1'!W12) &amp; ".  "</f>
        <v xml:space="preserve">iwh:contact_lafm_on_clen   a gscn:Conformable_Contact ;     gsoc:hasOlderHost  iwh:strat-CLEN ;   gsoc:hasYoungerHost iwh:BaseLacysFarmLimestone  ;  gsoc:hasYoungerHost iwh:strat-LAFM  ;  rdfs:label  "Lacy's Farm Limestone Member of Headon Hill Formation, Solent Group  overlies Cliff End"@en ;   rdfs:comment "Normal"@en ;.  </v>
      </c>
      <c r="K12" s="7" t="str">
        <f t="shared" si="4"/>
        <v xml:space="preserve">iwh:strat-LAFM  a gsog:Member ;  rdfs:label  "Lacy's Farm Limestone Member of 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iwh:strat-HEHI ;  gsoc:hasPart iwh:BaseLacysFarmLimestone ;  gsog:overlies iwh:strat-CLEN ;  gsog:hasMaterialConstituent [ a gslth:Generic_Mudstone ;   gsoc:hasQuality [ a gsoc:Proportion; gsoc:hasValue [a gsoq:Dominant_Constituent ]  ]] ;  gsog:hasMaterialConstituent [ a gslth:Limestone  ;    gsoc:hasQuality [ a gsoc:Proportion ; gsoc:hasValue [a gsoq:Subordinate_Constituent ]  ] ] ; rdfs:comment ""@en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"6.7"^^xsd:decimal ;   gsoc:hasUOM [ a gsuom:meter ]] ; ]  ] ;    gsoc:hasSetting [ a  gsen:Lacustrine_Setting  ] ;  rdfs:comment "Freshwater lacustrine"@en ;  rdfs:comment "ISBN:9780751837773, ISBN:9780852727720, DOI:10.1144/GOEWP"@en ;.  iwh:BaseLacysFarmLimestone  a gsog:Rock_Body_Boundary ;  gsoc:hostedBy iwh:strat-LAFM;   gsoc:isParticipantIn [ a gspr:Deposition ]  .  iwh:TopLacysFarmLimestone a gsog:Rock_Body_Boundary ;   gsoc:hostedBy iwh:strat-LAFM ;   gsoc:isParticipantIn [ a gspr:Deposition ]  .  iwh:contact_lafm_on_clen   a gscn:Conformable_Contact ;     gsoc:hasOlderHost  iwh:strat-CLEN ;   gsoc:hasYoungerHost iwh:BaseLacysFarmLimestone  ;  gsoc:hasYoungerHost iwh:strat-LAFM  ;  rdfs:label  "Lacy's Farm Limestone Member of Headon Hill Formation, Solent Group  overlies Cliff End"@en ;   rdfs:comment "Normal"@en ;.  </v>
      </c>
    </row>
    <row r="13" spans="1:12" ht="150" x14ac:dyDescent="0.25">
      <c r="A13" s="7" t="str">
        <f t="shared" si="0"/>
        <v xml:space="preserve">iwh:strat-CLEN  a gsog:Member ;  rdfs:label  "Cliff End Member of Headon Hill Formation, Solent Group"@en ;  </v>
      </c>
      <c r="B13" s="7" t="str">
        <f>"gsoq:indirectTemporalOccupies  gstime:" &amp; AgeMin &amp; "; " &amp;makeComment('PM1'!P13) &amp; "  "</f>
        <v xml:space="preserve">gsoq:indirectTemporalOccupies  gstime:Priabonian; rdfs:comment "HookerEtAl, 2009, DOI: 10.1130/2009.2452(12)"@en ;  </v>
      </c>
      <c r="C13" s="7" t="str">
        <f>"gsoc:isParticipantIn [  a gspr:Deposition; rdfs:label " &amp; quote( "Deposition during " &amp;'PM1'!N13)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13" s="7" t="str">
        <f t="shared" si="1"/>
        <v xml:space="preserve">gsoc:isPartOf iwh:strat-HEHI ;  gsoc:hasPart iwh:BaseCliffEnd ;  gsog:overlies iwh:strat-CB ;  </v>
      </c>
      <c r="E13" s="7" t="str">
        <f>"gsog:hasMaterialConstituent [ a " &amp; DominantLithURI &amp; " ;   gsoc:hasQuality [ a gsoc:Proportion; gsoc:hasValue [a gsoq:Dominant_Constituent ]  ]] ;  " &amp;  IF(ISBLANK( 'PM1'!AC13), "", "gsog:hasMaterialConstituent [ a " &amp; SubordinateLithURI &amp; "  ;    gsoc:hasQuality [ a gsoc:Proportion ; gsoc:hasValue [a gsoq:Subordinate_Constituent ]  ] ] ; ")  &amp; makeComment('PM1'!AH13) &amp;  "  "</f>
        <v xml:space="preserve">gsog:hasMaterialConstituent [ a gslth:Generic_Mudstone ;   gsoc:hasQuality [ a gsoc:Proportion; gsoc:hasValue [a gsoq:Dominant_Constituent ]  ]] ;  rdfs:comment "Shelly"@en ;  </v>
      </c>
      <c r="F13" s="7" t="str">
        <f>" gsoc:hasQuality [  a gsoq:Thickness ;	  gsoc:determinedBy [	a gsoc:Observation ; gsoc:hasDataValue " &amp; quote('PM1'!AK14 ) &amp; "@en ] ;  " &amp; IF(ISBLANK('PM1'!AJ13), " gsoc:hasValue [ a gsoc:Numeric_Value ; gsoc:hasDataValue " &amp; quote('PM1'!AI13) &amp; " ^^xsd:decimal ;  gsoc:hasUOM [ a gsuom:meter ]] ] ;   ", "  gsoc:hasValue [a gsoc:Quality_Range ;  gsoc:hasStartValue [ a gsoc:Numeric_Value ;  gsoc:hasDataValue " &amp; quote('PM1'!AI13) &amp; "^^xsd:decimal ;  gsoc:hasUOM [ a gsuom:meter ] ] ;   gsoc:hasEndValue [ a gsoc:Numeric_Value ; gsoc:hasDataValue " &amp; quote('PM1'!AJ13)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"15"^^xsd:decimal ;   gsoc:hasUOM [ a gsuom:meter ]] ; ]  ] ;   </v>
      </c>
      <c r="G13" s="7" t="str">
        <f>" gsoc:hasSetting [ a  "  &amp; PaleoenvURI &amp;  "  ] ;  "  &amp; makeComment('PM1'!AN13) &amp; "  " &amp; makeComment('PM1'!AO13) &amp;  ".  "</f>
        <v xml:space="preserve"> gsoc:hasSetting [ a  gsen:Swamp_Or_Marsh_Setting  ] ;  rdfs:comment "Freshwater/brackish with pedogenized clays"@en ;  rdfs:comment "ISBN:9780751837773, ISBN:9780852727720, DOI:10.1144/GOEWP"@en ;.  </v>
      </c>
      <c r="H13" s="7" t="str">
        <f t="shared" si="2"/>
        <v xml:space="preserve">iwh:BaseCliffEnd  a gsog:Rock_Body_Boundary ;  gsoc:hostedBy iwh:strat-CLEN;   gsoc:isParticipantIn [ a gspr:Deposition ]  .  </v>
      </c>
      <c r="I13" s="7" t="str">
        <f t="shared" si="3"/>
        <v xml:space="preserve">iwh:TopCliffEnd a gsog:Rock_Body_Boundary ;   gsoc:hostedBy iwh:strat-CLEN ;   gsoc:isParticipantIn [ a gspr:Deposition ]  .  </v>
      </c>
      <c r="J13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VLOOKUP(UPPER(RIGHT('PM1'!Q13, LEN('PM1'!Q13) - FIND("on_", 'PM1'!Q13) - 2)),LookupAbbrev,2, FALSE)  &amp;  """@en ;   " &amp; makeComment('PM1'!W13) &amp; ".  "</f>
        <v xml:space="preserve">iwh:contact_clen_on_colw   a gscn:Unconformable_Contact ;     gsoc:hasOlderHost  iwh:strat-CB ;   gsoc:hasYoungerHost iwh:BaseCliffEnd  ;  gsoc:hasYoungerHost iwh:strat-CLEN  ;  rdfs:label  "Cliff End Member of Headon Hill Formation, Solent Group  overlies Colwell Bay"@en ;   rdfs:comment "Erosional"@en ;.  </v>
      </c>
      <c r="K13" s="7" t="str">
        <f t="shared" si="4"/>
        <v xml:space="preserve">iwh:strat-CLEN  a gsog:Member ;  rdfs:label  "Cliff End Member of 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iwh:strat-HEHI ;  gsoc:hasPart iwh:BaseCliffEnd ;  gsog:overlies iwh:strat-CB ;  gsog:hasMaterialConstituent [ a gslth:Generic_Mudstone ;   gsoc:hasQuality [ a gsoc:Proportion; gsoc:hasValue [a gsoq:Dominant_Constituent ]  ]] ;  rdfs:comment "Shelly"@en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"15"^^xsd:decimal ;   gsoc:hasUOM [ a gsuom:meter ]] ; ]  ] ;    gsoc:hasSetting [ a  gsen:Swamp_Or_Marsh_Setting  ] ;  rdfs:comment "Freshwater/brackish with pedogenized clays"@en ;  rdfs:comment "ISBN:9780751837773, ISBN:9780852727720, DOI:10.1144/GOEWP"@en ;.  iwh:BaseCliffEnd  a gsog:Rock_Body_Boundary ;  gsoc:hostedBy iwh:strat-CLEN;   gsoc:isParticipantIn [ a gspr:Deposition ]  .  iwh:TopCliffEnd a gsog:Rock_Body_Boundary ;   gsoc:hostedBy iwh:strat-CLEN ;   gsoc:isParticipantIn [ a gspr:Deposition ]  .  iwh:contact_clen_on_colw   a gscn:Unconformable_Contact ;     gsoc:hasOlderHost  iwh:strat-CB ;   gsoc:hasYoungerHost iwh:BaseCliffEnd  ;  gsoc:hasYoungerHost iwh:strat-CLEN  ;  rdfs:label  "Cliff End Member of Headon Hill Formation, Solent Group  overlies Colwell Bay"@en ;   rdfs:comment "Erosional"@en ;.  </v>
      </c>
    </row>
    <row r="14" spans="1:12" ht="165" x14ac:dyDescent="0.25">
      <c r="A14" s="7" t="str">
        <f t="shared" si="0"/>
        <v xml:space="preserve">iwh:strat-COLW  a gsog:Member ;  rdfs:label  "Colwell Bay Member of Headon Hill Formation, Solent Group"@en ;  </v>
      </c>
      <c r="B14" s="7" t="str">
        <f>"gsoq:indirectTemporalOccupies  gstime:" &amp; AgeMin &amp; "; " &amp;makeComment('PM1'!P14) &amp; "  "</f>
        <v xml:space="preserve">gsoq:indirectTemporalOccupies  gstime:Priabonian; rdfs:comment "HookerEtAl, 2009, DOI: 10.1130/2009.2452(12)"@en ;  </v>
      </c>
      <c r="C14" s="7" t="str">
        <f>"gsoc:isParticipantIn [  a gspr:Deposition; rdfs:label " &amp; quote( "Deposition during " &amp;'PM1'!N14)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14" s="7" t="str">
        <f t="shared" si="1"/>
        <v xml:space="preserve">gsoc:isPartOf iwh:strat-HEHI ;  gsoc:hasPart iwh:BaseColwellBay ;  gsog:overlies iwh:strat-TOTB ;  </v>
      </c>
      <c r="E14" s="7" t="str">
        <f>"gsog:hasMaterialConstituent [ a " &amp; DominantLithURI &amp; " ;   gsoc:hasQuality [ a gsoc:Proportion; gsoc:hasValue [a gsoq:Dominant_Constituent ]  ]] ;  " &amp;  IF(ISBLANK( 'PM1'!AC14), "", "gsog:hasMaterialConstituent [ a " &amp; SubordinateLithURI &amp; "  ;    gsoc:hasQuality [ a gsoc:Proportion ; gsoc:hasValue [a gsoq:Subordinate_Constituent ]  ] ] ; ")  &amp; makeComment('PM1'!AH14) &amp;  "  "</f>
        <v xml:space="preserve">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"Shelly"@en ;  </v>
      </c>
      <c r="F14" s="7" t="str">
        <f>" gsoc:hasQuality [  a gsoq:Thickness ;	  gsoc:determinedBy [	a gsoc:Observation ; gsoc:hasDataValue " &amp; quote('PM1'!AK15 ) &amp; "@en ] ;  " &amp; IF(ISBLANK('PM1'!AJ14), " gsoc:hasValue [ a gsoc:Numeric_Value ; gsoc:hasDataValue " &amp; quote('PM1'!AI14) &amp; " ^^xsd:decimal ;  gsoc:hasUOM [ a gsuom:meter ]] ] ;   ", "  gsoc:hasValue [a gsoc:Quality_Range ;  gsoc:hasStartValue [ a gsoc:Numeric_Value ;  gsoc:hasDataValue " &amp; quote('PM1'!AI14) &amp; "^^xsd:decimal ;  gsoc:hasUOM [ a gsuom:meter ] ] ;   gsoc:hasEndValue [ a gsoc:Numeric_Value ; gsoc:hasDataValue " &amp; quote('PM1'!AJ14)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"30"^^xsd:decimal ;   gsoc:hasUOM [ a gsuom:meter ]] ; ]  ] ;   </v>
      </c>
      <c r="G14" s="7" t="str">
        <f>" gsoc:hasSetting [ a  "  &amp; PaleoenvURI &amp;  "  ] ;  "  &amp; makeComment('PM1'!AN14) &amp; "  " &amp; makeComment('PM1'!AO14) &amp;  ".  "</f>
        <v xml:space="preserve"> gsoc:hasSetting [ a  gsen:Marine_Setting  ] ;  rdfs:comment "Open marine"@en ;  rdfs:comment "ISBN:9780751837773, ISBN:9780852727720, DOI:10.1144/GOEWP"@en ;.  </v>
      </c>
      <c r="H14" s="7" t="str">
        <f t="shared" si="2"/>
        <v xml:space="preserve">iwh:BaseColwellBay  a gsog:Rock_Body_Boundary ;  gsoc:hostedBy iwh:strat-COLW;   gsoc:isParticipantIn [ a gspr:Deposition ]  .  </v>
      </c>
      <c r="I14" s="7" t="str">
        <f t="shared" si="3"/>
        <v xml:space="preserve">iwh:TopColwellBay a gsog:Rock_Body_Boundary ;   gsoc:hostedBy iwh:strat-COLW ;   gsoc:isParticipantIn [ a gspr:Erosion ]  .  </v>
      </c>
      <c r="J14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VLOOKUP(UPPER(RIGHT('PM1'!Q14, LEN('PM1'!Q14) - FIND("on_", 'PM1'!Q14) - 2)),LookupAbbrev,2, FALSE)  &amp;  """@en ;   " &amp; makeComment('PM1'!W14) &amp; ".  "</f>
        <v xml:space="preserve">iwh:contact_colw_on_totb   a gscn:Paraconformable_Contact ;     gsoc:hasOlderHost  iwh:strat-TOTB ;   gsoc:hasYoungerHost iwh:BaseColwellBay  ;  gsoc:hasYoungerHost iwh:strat-COLW  ;  rdfs:label  "Colwell Bay Member of Headon Hill Formation, Solent Group  overlies Totland Bay"@en ;   rdfs:comment "Omission surface"@en ;.  </v>
      </c>
      <c r="K14" s="7" t="str">
        <f t="shared" si="4"/>
        <v xml:space="preserve">iwh:strat-COLW  a gsog:Member ;  rdfs:label  "Colwell Bay Member of 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iwh:strat-HEHI ;  gsoc:hasPart iwh:BaseColwellBay ;  gsog:overlies iwh:strat-TOTB ;  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"Shelly"@en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"30"^^xsd:decimal ;   gsoc:hasUOM [ a gsuom:meter ]] ; ]  ] ;    gsoc:hasSetting [ a  gsen:Marine_Setting  ] ;  rdfs:comment "Open marine"@en ;  rdfs:comment "ISBN:9780751837773, ISBN:9780852727720, DOI:10.1144/GOEWP"@en ;.  iwh:BaseColwellBay  a gsog:Rock_Body_Boundary ;  gsoc:hostedBy iwh:strat-COLW;   gsoc:isParticipantIn [ a gspr:Deposition ]  .  iwh:TopColwellBay a gsog:Rock_Body_Boundary ;   gsoc:hostedBy iwh:strat-COLW ;   gsoc:isParticipantIn [ a gspr:Erosion ]  .  iwh:contact_colw_on_totb   a gscn:Paraconformable_Contact ;     gsoc:hasOlderHost  iwh:strat-TOTB ;   gsoc:hasYoungerHost iwh:BaseColwellBay  ;  gsoc:hasYoungerHost iwh:strat-COLW  ;  rdfs:label  "Colwell Bay Member of Headon Hill Formation, Solent Group  overlies Totland Bay"@en ;   rdfs:comment "Omission surface"@en ;.  </v>
      </c>
    </row>
    <row r="15" spans="1:12" ht="165" x14ac:dyDescent="0.25">
      <c r="A15" s="7" t="str">
        <f t="shared" si="0"/>
        <v xml:space="preserve">iwh:strat-TOTB  a gsog:Member ;  rdfs:label  "Totland Bay Member of Headon Hill Formation, Solent Group"@en ;  </v>
      </c>
      <c r="B15" s="7" t="str">
        <f>"gsoq:indirectTemporalOccupies  gstime:" &amp; AgeMin &amp; "; " &amp;makeComment('PM1'!P15) &amp; "  "</f>
        <v xml:space="preserve">gsoq:indirectTemporalOccupies  gstime:Priabonian; rdfs:comment "HookerEtAl, 2009, DOI: 10.1130/2009.2452(12)"@en ;  </v>
      </c>
      <c r="C15" s="7" t="str">
        <f>"gsoc:isParticipantIn [  a gspr:Deposition; rdfs:label " &amp; quote( "Deposition during " &amp;'PM1'!N15) &amp; "@en ; " &amp; "gsoc:directTemporalOccupies gstime:" &amp; AgeMin &amp; " 	] ;   "</f>
        <v xml:space="preserve">gsoc:isParticipantIn [  a gspr:Deposition; rdfs:label "Deposition during Priabonian"@en ; gsoc:directTemporalOccupies gstime:Priabonian 	] ;   </v>
      </c>
      <c r="D15" s="7" t="str">
        <f t="shared" si="1"/>
        <v xml:space="preserve">gsoc:isPartOf iwh:strat-HEHI ;  gsoc:hasPart iwh:BaseSolentGroup ;  gsog:overlies iwh:strat-BECS ;  </v>
      </c>
      <c r="E15" s="7" t="str">
        <f>"gsog:hasMaterialConstituent [ a " &amp; DominantLithURI &amp; " ;   gsoc:hasQuality [ a gsoc:Proportion; gsoc:hasValue [a gsoq:Dominant_Constituent ]  ]] ;  " &amp;  IF(ISBLANK( 'PM1'!AC15), "", "gsog:hasMaterialConstituent [ a " &amp; SubordinateLithURI &amp; "  ;    gsoc:hasQuality [ a gsoc:Proportion ; gsoc:hasValue [a gsoq:Subordinate_Constituent ]  ] ] ; ")  &amp; makeComment('PM1'!AH15) &amp;  "  "</f>
        <v xml:space="preserve">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"Interbedded succession; shelly"@en ;  </v>
      </c>
      <c r="F15" s="7" t="str">
        <f>" gsoc:hasQuality [  a gsoq:Thickness ;	  gsoc:determinedBy [	a gsoc:Observation ; gsoc:hasDataValue " &amp; quote('PM1'!AK16 ) &amp; "@en ] ;  " &amp; IF(ISBLANK('PM1'!AJ15), " gsoc:hasValue [ a gsoc:Numeric_Value ; gsoc:hasDataValue " &amp; quote('PM1'!AI15) &amp; " ^^xsd:decimal ;  gsoc:hasUOM [ a gsuom:meter ]] ] ;   ", "  gsoc:hasValue [a gsoc:Quality_Range ;  gsoc:hasStartValue [ a gsoc:Numeric_Value ;  gsoc:hasDataValue " &amp; quote('PM1'!AI15) &amp; "^^xsd:decimal ;  gsoc:hasUOM [ a gsuom:meter ] ] ;   gsoc:hasEndValue [ a gsoc:Numeric_Value ; gsoc:hasDataValue " &amp; quote('PM1'!AJ15) &amp; "^^xsd:decimal ;   gsoc:hasUOM [ a gsuom:meter ]] ; ]  ] ;   ")</f>
        <v xml:space="preserve"> gsoc:hasQuality [  a gsoq:Thickness ;	  gsoc:determinedBy [	a gsoc:Observation ; gsoc:hasDataValue "proved in PM1"@en ] ;    gsoc:hasValue [a gsoc:Quality_Range ;  gsoc:hasStartValue [ a gsoc:Numeric_Value ;  gsoc:hasDataValue "0"^^xsd:decimal ;  gsoc:hasUOM [ a gsuom:meter ] ] ;   gsoc:hasEndValue [ a gsoc:Numeric_Value ; gsoc:hasDataValue "8"^^xsd:decimal ;   gsoc:hasUOM [ a gsuom:meter ]] ; ]  ] ;   </v>
      </c>
      <c r="G15" s="7" t="str">
        <f>" gsoc:hasSetting [ a  "  &amp; PaleoenvURI &amp;  "  ] ;  "  &amp; makeComment('PM1'!AN15) &amp; "  " &amp; makeComment('PM1'!AO15) &amp;  ".  "</f>
        <v xml:space="preserve"> gsoc:hasSetting [ a  gsen:Lacustrine_Setting, gsen:River_Plain_System_Setting  ] ;  rdfs:comment "Freshwater"@en ;  rdfs:comment "ISBN:9780751837773, ISBN:9780852727720, DOI:10.1144/GOEWP"@en ;.  </v>
      </c>
      <c r="H15" s="7" t="str">
        <f t="shared" si="2"/>
        <v xml:space="preserve">iwh:BaseSolentGroup  a gsog:Rock_Body_Boundary ;  gsoc:hostedBy iwh:strat-TOTB;   gsoc:isParticipantIn [ a gspr:Deposition ]  .  </v>
      </c>
      <c r="I15" s="7" t="str">
        <f t="shared" si="3"/>
        <v xml:space="preserve">iwh:TopTotlandBay a gsog:Rock_Body_Boundary ;   gsoc:hostedBy iwh:strat-TOTB ;   gsoc:isParticipantIn [ a gspr:Deposition_Hiatus ]  .  </v>
      </c>
      <c r="J15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VLOOKUP(UPPER(RIGHT('PM1'!Q15, LEN('PM1'!Q15) - FIND("on_", 'PM1'!Q15) - 2)),LookupAbbrev,2, FALSE)  &amp;  """@en ;   " &amp; makeComment('PM1'!W15) &amp; ".  "</f>
        <v xml:space="preserve">iwh:contact_totb_on_becs   a gscn:Conformable_Contact ;     gsoc:hasOlderHost  iwh:strat-BECS ;   gsoc:hasYoungerHost iwh:BaseSolentGroup  ;  gsoc:hasYoungerHost iwh:strat-TOTB  ;  rdfs:label  "Totland Bay Member of Headon Hill Formation, Solent Group  overlies Becton Sand"@en ;   rdfs:comment "Normal"@en ;.  </v>
      </c>
      <c r="K15" s="7" t="str">
        <f t="shared" si="4"/>
        <v xml:space="preserve">iwh:strat-TOTB  a gsog:Member ;  rdfs:label  "Totland Bay Member of Headon Hill Formation, Solent Group"@en ;  gsoq:indirectTemporalOccupies  gstime:Priabonian; rdfs:comment "HookerEtAl, 2009, DOI: 10.1130/2009.2452(12)"@en ;  gsoc:isParticipantIn [  a gspr:Deposition; rdfs:label "Deposition during Priabonian"@en ; gsoc:directTemporalOccupies gstime:Priabonian 	] ;   gsoc:isPartOf iwh:strat-HEHI ;  gsoc:hasPart iwh:BaseSolentGroup ;  gsog:overlies iwh:strat-BECS ;  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"Interbedded succession; shelly"@en ;   gsoc:hasQuality [  a gsoq:Thickness ;	  gsoc:determinedBy [	a gsoc:Observation ; gsoc:hasDataValue "proved in PM1"@en ] ;    gsoc:hasValue [a gsoc:Quality_Range ;  gsoc:hasStartValue [ a gsoc:Numeric_Value ;  gsoc:hasDataValue "0"^^xsd:decimal ;  gsoc:hasUOM [ a gsuom:meter ] ] ;   gsoc:hasEndValue [ a gsoc:Numeric_Value ; gsoc:hasDataValue "8"^^xsd:decimal ;   gsoc:hasUOM [ a gsuom:meter ]] ; ]  ] ;    gsoc:hasSetting [ a  gsen:Lacustrine_Setting, gsen:River_Plain_System_Setting  ] ;  rdfs:comment "Freshwater"@en ;  rdfs:comment "ISBN:9780751837773, ISBN:9780852727720, DOI:10.1144/GOEWP"@en ;.  iwh:BaseSolentGroup  a gsog:Rock_Body_Boundary ;  gsoc:hostedBy iwh:strat-TOTB;   gsoc:isParticipantIn [ a gspr:Deposition ]  .  iwh:TopTotlandBay a gsog:Rock_Body_Boundary ;   gsoc:hostedBy iwh:strat-TOTB ;   gsoc:isParticipantIn [ a gspr:Deposition_Hiatus ]  .  iwh:contact_totb_on_becs   a gscn:Conformable_Contact ;     gsoc:hasOlderHost  iwh:strat-BECS ;   gsoc:hasYoungerHost iwh:BaseSolentGroup  ;  gsoc:hasYoungerHost iwh:strat-TOTB  ;  rdfs:label  "Totland Bay Member of Headon Hill Formation, Solent Group  overlies Becton Sand"@en ;   rdfs:comment "Normal"@en ;.  </v>
      </c>
    </row>
    <row r="16" spans="1:12" ht="150" x14ac:dyDescent="0.25">
      <c r="A16" s="7" t="str">
        <f t="shared" si="0"/>
        <v xml:space="preserve">iwh:strat-BA  a gsog:Group ;  rdfs:label  "Barton Group"@en ;  </v>
      </c>
      <c r="B16" s="7" t="str">
        <f>"gsoq:indirectTemporalOccupies  gstime:" &amp; AgeMin &amp; "; " &amp;makeComment('PM1'!P16) &amp; "  "</f>
        <v xml:space="preserve">gsoq:indirectTemporalOccupies  gstime:Bartonian; rdfs:comment "HookerEtAl, 2009, DOI: 10.1130/2009.2452(12)"@en ;  </v>
      </c>
      <c r="C16" s="7" t="str">
        <f>"gsoc:isParticipantIn [  a gspr:Deposition; rdfs:label " &amp; quote( "Deposition during " &amp;'PM1'!N16) &amp; "@en ; " &amp; "gsoc:directTemporalOccupies gstime:" &amp; AgeMin &amp; " 	] ;   "</f>
        <v xml:space="preserve">gsoc:isParticipantIn [  a gspr:Deposition; rdfs:label "Deposition during Bartonian"@en ; gsoc:directTemporalOccupies gstime:Bartonian 	] ;   </v>
      </c>
      <c r="D16" s="7" t="str">
        <f t="shared" si="1"/>
        <v xml:space="preserve">gsoc:isPartOf  ;  gsoc:hasPart iwh:BaseBartonGroup ;  gsog:overlies iwh:strat-BRB ;  </v>
      </c>
      <c r="E16" s="7" t="str">
        <f>"gsog:hasMaterialConstituent [ a " &amp; DominantLithURI &amp; " ;   gsoc:hasQuality [ a gsoc:Proportion; gsoc:hasValue [a gsoq:Dominant_Constituent ]  ]] ;  " &amp;  IF(ISBLANK( 'PM1'!AC16), "", "gsog:hasMaterialConstituent [ a " &amp; SubordinateLithURI &amp; "  ;    gsoc:hasQuality [ a gsoc:Proportion ; gsoc:hasValue [a gsoq:Subordinate_Constituent ]  ] ] ; ")  &amp; makeComment('PM1'!AH16) &amp;  "  "</f>
        <v xml:space="preserve">gsog:hasMaterialConstituent [ a gslth:Generic_Mudstone ;   gsoc:hasQuality [ a gsoc:Proportion; gsoc:hasValue [a gsoq:Dominant_Constituent ]  ]] ;  gsog:hasMaterialConstituent [ a gslth:Generic_Mudstone  ;    gsoc:hasQuality [ a gsoc:Proportion ; gsoc:hasValue [a gsoq:Subordinate_Constituent ]  ] ] ; rdfs:comment "Sand; sandy clay"@en ;  </v>
      </c>
      <c r="F16" s="7" t="str">
        <f>" gsoc:hasQuality [  a gsoq:Thickness ;	  gsoc:determinedBy [	a gsoc:Observation ; gsoc:hasDataValue " &amp; quote('PM1'!AK17 ) &amp; "@en ] ;  " &amp; IF(ISBLANK('PM1'!AJ16), " gsoc:hasValue [ a gsoc:Numeric_Value ; gsoc:hasDataValue " &amp; quote('PM1'!AI16) &amp; " ^^xsd:decimal ;  gsoc:hasUOM [ a gsuom:meter ]] ] ;   ", "  gsoc:hasValue [a gsoc:Quality_Range ;  gsoc:hasStartValue [ a gsoc:Numeric_Value ;  gsoc:hasDataValue " &amp; quote('PM1'!AI16) &amp; "^^xsd:decimal ;  gsoc:hasUOM [ a gsuom:meter ] ] ;   gsoc:hasEndValue [ a gsoc:Numeric_Value ; gsoc:hasDataValue " &amp; quote('PM1'!AJ16) &amp; "^^xsd:decimal ;   gsoc:hasUOM [ a gsuom:meter ]] ; ]  ] ;   ")</f>
        <v xml:space="preserve"> gsoc:hasQuality [  a gsoq:Thickness ;	  gsoc:determinedBy [	a gsoc:Observation ; gsoc:hasDataValue "regional IOW thickness; not proved in PM1"@en ] ;   gsoc:hasValue [ a gsoc:Numeric_Value ; gsoc:hasDataValue "33.8" ^^xsd:decimal ;  gsoc:hasUOM [ a gsuom:meter ]] ] ;   </v>
      </c>
      <c r="G16" s="7" t="str">
        <f>" gsoc:hasSetting [ a  "  &amp; PaleoenvURI &amp;  "  ] ;  "  &amp; makeComment('PM1'!AN16) &amp; "  " &amp; makeComment('PM1'!AO16) &amp;  ".  "</f>
        <v xml:space="preserve"> gsoc:hasSetting [ a  gsen:Shoreline_Setting, gsen:Inner_Neritic_Setting, gsen:Middle_Neritic_Setting  ] ;  rdfs:comment "Inner to mid marine shelf &amp; coastal"@en ;  rdfs:comment "ISBN:9780751837773, ISBN:9780852727720, DOI:10.1144/GOEWP"@en ;.  </v>
      </c>
      <c r="H16" s="7" t="str">
        <f t="shared" si="2"/>
        <v xml:space="preserve">iwh:BaseBartonGroup  a gsog:Rock_Body_Boundary ;  gsoc:hostedBy iwh:strat-BA;   gsoc:isParticipantIn [ a gspr:Deposition ]  .  </v>
      </c>
      <c r="I16" s="7" t="str">
        <f t="shared" si="3"/>
        <v xml:space="preserve">iwh:TopBartonGroup a gsog:Rock_Body_Boundary ;   gsoc:hostedBy iwh:strat-BA ;   gsoc:isParticipantIn [ a gspr:Deposition ]  .  </v>
      </c>
      <c r="J16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VLOOKUP(UPPER(RIGHT('PM1'!Q16, LEN('PM1'!Q16) - FIND("on_", 'PM1'!Q16) - 2)),LookupAbbrev,2, FALSE)  &amp;  """@en ;   " &amp; makeComment('PM1'!W16) &amp; ".  "</f>
        <v xml:space="preserve">iwh:contact_ba_on_brb   a gscn:Unconformable_Contact ;     gsoc:hasOlderHost  iwh:strat-BRB ;   gsoc:hasYoungerHost iwh:BaseBartonGroup  ;  gsoc:hasYoungerHost iwh:strat-BA  ;  rdfs:label  "Barton Group  overlies Bracklesham"@en ;   rdfs:comment "Unconformable"@en ;.  </v>
      </c>
      <c r="K16" s="7" t="str">
        <f t="shared" si="4"/>
        <v xml:space="preserve">iwh:strat-BA  a gsog:Group ;  rdfs:label  "Barton Group"@en ;  gsoq:indirectTemporalOccupies  gstime:Bartonian; rdfs:comment "HookerEtAl, 2009, DOI: 10.1130/2009.2452(12)"@en ;  gsoc:isParticipantIn [  a gspr:Deposition; rdfs:label "Deposition during Bartonian"@en ; gsoc:directTemporalOccupies gstime:Bartonian 	] ;   gsoc:isPartOf  ;  gsoc:hasPart iwh:BaseBartonGroup ;  gsog:overlies iwh:strat-BRB ;  gsog:hasMaterialConstituent [ a gslth:Generic_Mudstone ;   gsoc:hasQuality [ a gsoc:Proportion; gsoc:hasValue [a gsoq:Dominant_Constituent ]  ]] ;  gsog:hasMaterialConstituent [ a gslth:Generic_Mudstone  ;    gsoc:hasQuality [ a gsoc:Proportion ; gsoc:hasValue [a gsoq:Subordinate_Constituent ]  ] ] ; rdfs:comment "Sand; sandy clay"@en ;   gsoc:hasQuality [  a gsoq:Thickness ;	  gsoc:determinedBy [	a gsoc:Observation ; gsoc:hasDataValue "regional IOW thickness; not proved in PM1"@en ] ;   gsoc:hasValue [ a gsoc:Numeric_Value ; gsoc:hasDataValue "33.8" ^^xsd:decimal ;  gsoc:hasUOM [ a gsuom:meter ]] ] ;    gsoc:hasSetting [ a  gsen:Shoreline_Setting, gsen:Inner_Neritic_Setting, gsen:Middle_Neritic_Setting  ] ;  rdfs:comment "Inner to mid marine shelf &amp; coastal"@en ;  rdfs:comment "ISBN:9780751837773, ISBN:9780852727720, DOI:10.1144/GOEWP"@en ;.  iwh:BaseBartonGroup  a gsog:Rock_Body_Boundary ;  gsoc:hostedBy iwh:strat-BA;   gsoc:isParticipantIn [ a gspr:Deposition ]  .  iwh:TopBartonGroup a gsog:Rock_Body_Boundary ;   gsoc:hostedBy iwh:strat-BA ;   gsoc:isParticipantIn [ a gspr:Deposition ]  .  iwh:contact_ba_on_brb   a gscn:Unconformable_Contact ;     gsoc:hasOlderHost  iwh:strat-BRB ;   gsoc:hasYoungerHost iwh:BaseBartonGroup  ;  gsoc:hasYoungerHost iwh:strat-BA  ;  rdfs:label  "Barton Group  overlies Bracklesham"@en ;   rdfs:comment "Unconformable"@en ;.  </v>
      </c>
    </row>
    <row r="17" spans="1:11" ht="165" x14ac:dyDescent="0.25">
      <c r="A17" s="7" t="str">
        <f t="shared" si="0"/>
        <v xml:space="preserve">iwh:strat-BECS  a gsog:Formation ;  rdfs:label  "Becton Sand Formation, Barton Group"@en ;  </v>
      </c>
      <c r="B17" s="7" t="str">
        <f>"gsoq:indirectTemporalOccupies  gstime:" &amp; AgeMin &amp; "; " &amp;makeComment('PM1'!P17) &amp; "  "</f>
        <v xml:space="preserve">gsoq:indirectTemporalOccupies  gstime:Bartonian; rdfs:comment "Gale et al, 1999, DOI: 10.1144/gsjgs.156.2.0327"@en ;  </v>
      </c>
      <c r="C17" s="7" t="str">
        <f>"gsoc:isParticipantIn [  a gspr:Deposition; rdfs:label " &amp; quote( "Deposition during " &amp;'PM1'!N17) &amp; "@en ; " &amp; "gsoc:directTemporalOccupies gstime:" &amp; AgeMin &amp; " 	] ;   "</f>
        <v xml:space="preserve">gsoc:isParticipantIn [  a gspr:Deposition; rdfs:label "Deposition during Bartonian"@en ; gsoc:directTemporalOccupies gstime:Bartonian 	] ;   </v>
      </c>
      <c r="D17" s="7" t="str">
        <f t="shared" si="1"/>
        <v xml:space="preserve">gsoc:isPartOf iwh:strat-BA ;  gsoc:hasPart iwh:BaseBectonSand ;  gsog:overlies iwh:strat-CHMS ;  </v>
      </c>
      <c r="E17" s="7" t="str">
        <f>"gsog:hasMaterialConstituent [ a " &amp; DominantLithURI &amp; " ;   gsoc:hasQuality [ a gsoc:Proportion; gsoc:hasValue [a gsoq:Dominant_Constituent ]  ]] ;  " &amp;  IF(ISBLANK( 'PM1'!AC17), "", "gsog:hasMaterialConstituent [ a " &amp; SubordinateLithURI &amp; "  ;    gsoc:hasQuality [ a gsoc:Proportion ; gsoc:hasValue [a gsoq:Subordinate_Constituent ]  ] ] ; ")  &amp; makeComment('PM1'!AH17) &amp;  "  "</f>
        <v xml:space="preserve">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"Cross-bedded"@en ;  </v>
      </c>
      <c r="F17" s="7" t="str">
        <f>" gsoc:hasQuality [  a gsoq:Thickness ;	  gsoc:determinedBy [	a gsoc:Observation ; gsoc:hasDataValue " &amp; quote('PM1'!AK18 ) &amp; "@en ] ;  " &amp; IF(ISBLANK('PM1'!AJ17), " gsoc:hasValue [ a gsoc:Numeric_Value ; gsoc:hasDataValue " &amp; quote('PM1'!AI17) &amp; " ^^xsd:decimal ;  gsoc:hasUOM [ a gsuom:meter ]] ] ;   ", "  gsoc:hasValue [a gsoc:Quality_Range ;  gsoc:hasStartValue [ a gsoc:Numeric_Value ;  gsoc:hasDataValue " &amp; quote('PM1'!AI17) &amp; "^^xsd:decimal ;  gsoc:hasUOM [ a gsuom:meter ] ] ;   gsoc:hasEndValue [ a gsoc:Numeric_Value ; gsoc:hasDataValue " &amp; quote('PM1'!AJ17)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"64"^^xsd:decimal ;   gsoc:hasUOM [ a gsuom:meter ]] ; ]  ] ;   </v>
      </c>
      <c r="G17" s="7" t="str">
        <f>" gsoc:hasSetting [ a  "  &amp; PaleoenvURI &amp;  "  ] ;  "  &amp; makeComment('PM1'!AN17) &amp; "  " &amp; makeComment('PM1'!AO17) &amp;  ".  "</f>
        <v xml:space="preserve"> gsoc:hasSetting [ a  gsen:Shoreline_Setting, gsen:Inner_Neritic_Setting   ] ;  rdfs:comment "Inner marine shelf &amp; coastal"@en ;  rdfs:comment "ISBN:9780751837773, ISBN:9780852727720, DOI:10.1144/GOEWP"@en ;.  </v>
      </c>
      <c r="H17" s="7" t="str">
        <f t="shared" si="2"/>
        <v xml:space="preserve">iwh:BaseBectonSand  a gsog:Rock_Body_Boundary ;  gsoc:hostedBy iwh:strat-BECS;   gsoc:isParticipantIn [ a gspr:Deposition ]  .  </v>
      </c>
      <c r="I17" s="7" t="str">
        <f t="shared" si="3"/>
        <v xml:space="preserve">iwh:TopBartonGroup a gsog:Rock_Body_Boundary ;   gsoc:hostedBy iwh:strat-BECS ;   gsoc:isParticipantIn [ a gspr:Deposition ]  .  </v>
      </c>
      <c r="J17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VLOOKUP(UPPER(RIGHT('PM1'!Q17, LEN('PM1'!Q17) - FIND("on_", 'PM1'!Q17) - 2)),LookupAbbrev,2, FALSE)  &amp;  """@en ;   " &amp; makeComment('PM1'!W17) &amp; ".  "</f>
        <v xml:space="preserve">iwh:contact_becs_on_chms   a gscn:Conformable_Contact ;     gsoc:hasOlderHost  iwh:strat-CHMS ;   gsoc:hasYoungerHost iwh:BaseBectonSand  ;  gsoc:hasYoungerHost iwh:strat-BECS  ;  rdfs:label  "Becton Sand Formation, Barton Group  overlies Chama Sand"@en ;   rdfs:comment "Normal"@en ;.  </v>
      </c>
      <c r="K17" s="7" t="str">
        <f t="shared" si="4"/>
        <v xml:space="preserve">iwh:strat-BECS  a gsog:Formation ;  rdfs:label  "Becton Sand Formation, Barton Group"@en ;  gsoq:indirectTemporalOccupies  gstime:Bartonian; rdfs:comment "Gale et al, 1999, DOI: 10.1144/gsjgs.156.2.0327"@en ;  gsoc:isParticipantIn [  a gspr:Deposition; rdfs:label "Deposition during Bartonian"@en ; gsoc:directTemporalOccupies gstime:Bartonian 	] ;   gsoc:isPartOf iwh:strat-BA ;  gsoc:hasPart iwh:BaseBectonSand ;  gsog:overlies iwh:strat-CHMS ;  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"Cross-bedded"@en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"64"^^xsd:decimal ;   gsoc:hasUOM [ a gsuom:meter ]] ; ]  ] ;    gsoc:hasSetting [ a  gsen:Shoreline_Setting, gsen:Inner_Neritic_Setting   ] ;  rdfs:comment "Inner marine shelf &amp; coastal"@en ;  rdfs:comment "ISBN:9780751837773, ISBN:9780852727720, DOI:10.1144/GOEWP"@en ;.  iwh:BaseBectonSand  a gsog:Rock_Body_Boundary ;  gsoc:hostedBy iwh:strat-BECS;   gsoc:isParticipantIn [ a gspr:Deposition ]  .  iwh:TopBartonGroup a gsog:Rock_Body_Boundary ;   gsoc:hostedBy iwh:strat-BECS ;   gsoc:isParticipantIn [ a gspr:Deposition ]  .  iwh:contact_becs_on_chms   a gscn:Conformable_Contact ;     gsoc:hasOlderHost  iwh:strat-CHMS ;   gsoc:hasYoungerHost iwh:BaseBectonSand  ;  gsoc:hasYoungerHost iwh:strat-BECS  ;  rdfs:label  "Becton Sand Formation, Barton Group  overlies Chama Sand"@en ;   rdfs:comment "Normal"@en ;.  </v>
      </c>
    </row>
    <row r="18" spans="1:11" ht="135" x14ac:dyDescent="0.25">
      <c r="A18" s="7" t="str">
        <f t="shared" si="0"/>
        <v xml:space="preserve">iwh:strat-CHMS  a gsog:Formation ;  rdfs:label  "Chama Sand Formation, Barton Group"@en ;  </v>
      </c>
      <c r="B18" s="7" t="str">
        <f>"gsoq:indirectTemporalOccupies  gstime:" &amp; AgeMin &amp; "; " &amp;makeComment('PM1'!P18) &amp; "  "</f>
        <v xml:space="preserve">gsoq:indirectTemporalOccupies  gstime:Bartonian; rdfs:comment "Gale et al, 1999, DOI: 10.1144/gsjgs.156.2.0327"@en ;  </v>
      </c>
      <c r="C18" s="7" t="str">
        <f>"gsoc:isParticipantIn [  a gspr:Deposition; rdfs:label " &amp; quote( "Deposition during " &amp;'PM1'!N18) &amp; "@en ; " &amp; "gsoc:directTemporalOccupies gstime:" &amp; AgeMin &amp; " 	] ;   "</f>
        <v xml:space="preserve">gsoc:isParticipantIn [  a gspr:Deposition; rdfs:label "Deposition during Bartonian"@en ; gsoc:directTemporalOccupies gstime:Bartonian 	] ;   </v>
      </c>
      <c r="D18" s="7" t="str">
        <f t="shared" si="1"/>
        <v xml:space="preserve">gsoc:isPartOf iwh:strat-BA ;  gsoc:hasPart iwh:BaseChamaSand ;  gsog:overlies iwh:strat-BAC ;  </v>
      </c>
      <c r="E18" s="7" t="str">
        <f>"gsog:hasMaterialConstituent [ a " &amp; DominantLithURI &amp; " ;   gsoc:hasQuality [ a gsoc:Proportion; gsoc:hasValue [a gsoq:Dominant_Constituent ]  ]] ;  " &amp;  IF(ISBLANK( 'PM1'!AC18), "", "gsog:hasMaterialConstituent [ a " &amp; SubordinateLithURI &amp; "  ;    gsoc:hasQuality [ a gsoc:Proportion ; gsoc:hasValue [a gsoq:Subordinate_Constituent ]  ] ] ; ")  &amp; makeComment('PM1'!AH18) &amp;  "  "</f>
        <v xml:space="preserve">gsog:hasMaterialConstituent [ a gslth:Arenite ;   gsoc:hasQuality [ a gsoc:Proportion; gsoc:hasValue [a gsoq:Dominant_Constituent ]  ]] ;  rdfs:comment "Intensely bioturbated"@en ;  </v>
      </c>
      <c r="F18" s="7" t="str">
        <f>" gsoc:hasQuality [  a gsoq:Thickness ;	  gsoc:determinedBy [	a gsoc:Observation ; gsoc:hasDataValue " &amp; quote('PM1'!AK19 ) &amp; "@en ] ;  " &amp; IF(ISBLANK('PM1'!AJ18), " gsoc:hasValue [ a gsoc:Numeric_Value ; gsoc:hasDataValue " &amp; quote('PM1'!AI18) &amp; " ^^xsd:decimal ;  gsoc:hasUOM [ a gsuom:meter ]] ] ;   ", "  gsoc:hasValue [a gsoc:Quality_Range ;  gsoc:hasStartValue [ a gsoc:Numeric_Value ;  gsoc:hasDataValue " &amp; quote('PM1'!AI18) &amp; "^^xsd:decimal ;  gsoc:hasUOM [ a gsuom:meter ] ] ;   gsoc:hasEndValue [ a gsoc:Numeric_Value ; gsoc:hasDataValue " &amp; quote('PM1'!AJ18) &amp; "^^xsd:decimal ;   gsoc:hasUOM [ a gsuom:meter ]] ; ]  ] ;   ")</f>
        <v xml:space="preserve"> gsoc:hasQuality [  a gsoq:Thickness ;	  gsoc:determinedBy [	a gsoc:Observation ; gsoc:hasDataValue "regional IOW thickness; not proved in PM1"@en ] ;   gsoc:hasValue [ a gsoc:Numeric_Value ; gsoc:hasDataValue "15" ^^xsd:decimal ;  gsoc:hasUOM [ a gsuom:meter ]] ] ;   </v>
      </c>
      <c r="G18" s="7" t="str">
        <f>" gsoc:hasSetting [ a  "  &amp; PaleoenvURI &amp;  "  ] ;  "  &amp; makeComment('PM1'!AN18) &amp; "  " &amp; makeComment('PM1'!AO18) &amp;  ".  "</f>
        <v xml:space="preserve"> gsoc:hasSetting [ a  gsen:Shoreline_Setting, gsen:Inner_Neritic_Setting   ] ;  rdfs:comment "Inner marine shelf &amp; coastal"@en ;  rdfs:comment "ISBN:9780751837773, ISBN:9780852727720, DOI:10.1144/GOEWP"@en ;.  </v>
      </c>
      <c r="H18" s="7" t="str">
        <f t="shared" si="2"/>
        <v xml:space="preserve">iwh:BaseChamaSand  a gsog:Rock_Body_Boundary ;  gsoc:hostedBy iwh:strat-CHMS;   gsoc:isParticipantIn [ a gspr:Deposition ]  .  </v>
      </c>
      <c r="I18" s="7" t="str">
        <f t="shared" si="3"/>
        <v xml:space="preserve">iwh:TopChamaSand a gsog:Rock_Body_Boundary ;   gsoc:hostedBy iwh:strat-CHMS ;   gsoc:isParticipantIn [ a gspr:Deposition ]  .  </v>
      </c>
      <c r="J18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VLOOKUP(UPPER(RIGHT('PM1'!Q18, LEN('PM1'!Q18) - FIND("on_", 'PM1'!Q18) - 2)),LookupAbbrev,2, FALSE)  &amp;  """@en ;   " &amp; makeComment('PM1'!W18) &amp; ".  "</f>
        <v xml:space="preserve">iwh:contact_chms_on_bac   a gscn:Conformable_Contact ;     gsoc:hasOlderHost  iwh:strat-BAC ;   gsoc:hasYoungerHost iwh:BaseChamaSand  ;  gsoc:hasYoungerHost iwh:strat-CHMS  ;  rdfs:label  "Chama Sand Formation, Barton Group  overlies Barton Clay"@en ;   rdfs:comment "Normal"@en ;.  </v>
      </c>
      <c r="K18" s="7" t="str">
        <f t="shared" si="4"/>
        <v xml:space="preserve">iwh:strat-CHMS  a gsog:Formation ;  rdfs:label  "Chama Sand Formation, Barton Group"@en ;  gsoq:indirectTemporalOccupies  gstime:Bartonian; rdfs:comment "Gale et al, 1999, DOI: 10.1144/gsjgs.156.2.0327"@en ;  gsoc:isParticipantIn [  a gspr:Deposition; rdfs:label "Deposition during Bartonian"@en ; gsoc:directTemporalOccupies gstime:Bartonian 	] ;   gsoc:isPartOf iwh:strat-BA ;  gsoc:hasPart iwh:BaseChamaSand ;  gsog:overlies iwh:strat-BAC ;  gsog:hasMaterialConstituent [ a gslth:Arenite ;   gsoc:hasQuality [ a gsoc:Proportion; gsoc:hasValue [a gsoq:Dominant_Constituent ]  ]] ;  rdfs:comment "Intensely bioturbated"@en ;   gsoc:hasQuality [  a gsoq:Thickness ;	  gsoc:determinedBy [	a gsoc:Observation ; gsoc:hasDataValue "regional IOW thickness; not proved in PM1"@en ] ;   gsoc:hasValue [ a gsoc:Numeric_Value ; gsoc:hasDataValue "15" ^^xsd:decimal ;  gsoc:hasUOM [ a gsuom:meter ]] ] ;    gsoc:hasSetting [ a  gsen:Shoreline_Setting, gsen:Inner_Neritic_Setting   ] ;  rdfs:comment "Inner marine shelf &amp; coastal"@en ;  rdfs:comment "ISBN:9780751837773, ISBN:9780852727720, DOI:10.1144/GOEWP"@en ;.  iwh:BaseChamaSand  a gsog:Rock_Body_Boundary ;  gsoc:hostedBy iwh:strat-CHMS;   gsoc:isParticipantIn [ a gspr:Deposition ]  .  iwh:TopChamaSand a gsog:Rock_Body_Boundary ;   gsoc:hostedBy iwh:strat-CHMS ;   gsoc:isParticipantIn [ a gspr:Deposition ]  .  iwh:contact_chms_on_bac   a gscn:Conformable_Contact ;     gsoc:hasOlderHost  iwh:strat-BAC ;   gsoc:hasYoungerHost iwh:BaseChamaSand  ;  gsoc:hasYoungerHost iwh:strat-CHMS  ;  rdfs:label  "Chama Sand Formation, Barton Group  overlies Barton Clay"@en ;   rdfs:comment "Normal"@en ;.  </v>
      </c>
    </row>
    <row r="19" spans="1:11" ht="135" x14ac:dyDescent="0.25">
      <c r="A19" s="7" t="str">
        <f t="shared" si="0"/>
        <v xml:space="preserve">iwh:strat-BAC  a gsog:Formation ;  rdfs:label  "Barton Clay Formation, Barton Group"@en ;  </v>
      </c>
      <c r="B19" s="7" t="str">
        <f>"gsoq:indirectTemporalOccupies  gstime:" &amp; AgeMin &amp; "; " &amp;makeComment('PM1'!P19) &amp; "  "</f>
        <v xml:space="preserve">gsoq:indirectTemporalOccupies  gstime:Bartonian; rdfs:comment "Gale et al, 1999, DOI: 10.1144/gsjgs.156.2.0327"@en ;  </v>
      </c>
      <c r="C19" s="7" t="str">
        <f>"gsoc:isParticipantIn [  a gspr:Deposition; rdfs:label " &amp; quote( "Deposition during " &amp;'PM1'!N19) &amp; "@en ; " &amp; "gsoc:directTemporalOccupies gstime:" &amp; AgeMin &amp; " 	] ;   "</f>
        <v xml:space="preserve">gsoc:isParticipantIn [  a gspr:Deposition; rdfs:label "Deposition during Bartonian"@en ; gsoc:directTemporalOccupies gstime:Bartonian 	] ;   </v>
      </c>
      <c r="D19" s="7" t="str">
        <f t="shared" si="1"/>
        <v xml:space="preserve">gsoc:isPartOf iwh:strat-BA ;  gsoc:hasPart iwh:BaseBartonGroup ;  gsog:overlies iwh:strat-SLSY ;  </v>
      </c>
      <c r="E19" s="7" t="str">
        <f>"gsog:hasMaterialConstituent [ a " &amp; DominantLithURI &amp; " ;   gsoc:hasQuality [ a gsoc:Proportion; gsoc:hasValue [a gsoq:Dominant_Constituent ]  ]] ;  " &amp;  IF(ISBLANK( 'PM1'!AC19), "", "gsog:hasMaterialConstituent [ a " &amp; SubordinateLithURI &amp; "  ;    gsoc:hasQuality [ a gsoc:Proportion ; gsoc:hasValue [a gsoq:Subordinate_Constituent ]  ] ] ; ")  &amp; makeComment('PM1'!AH19) &amp;  "  "</f>
        <v xml:space="preserve">gsog:hasMaterialConstituent [ a gslth:Generic_Mudstone ;   gsoc:hasQuality [ a gsoc:Proportion; gsoc:hasValue [a gsoq:Dominant_Constituent ]  ]] ;  rdfs:comment "Locally sandy and glauconitic; locally Nummulites-rich"@en ;  </v>
      </c>
      <c r="F19" s="7" t="str">
        <f>" gsoc:hasQuality [  a gsoq:Thickness ;	  gsoc:determinedBy [	a gsoc:Observation ; gsoc:hasDataValue " &amp; quote('PM1'!AK20 ) &amp; "@en ] ;  " &amp; IF(ISBLANK('PM1'!AJ19), " gsoc:hasValue [ a gsoc:Numeric_Value ; gsoc:hasDataValue " &amp; quote('PM1'!AI19) &amp; " ^^xsd:decimal ;  gsoc:hasUOM [ a gsuom:meter ]] ] ;   ", "  gsoc:hasValue [a gsoc:Quality_Range ;  gsoc:hasStartValue [ a gsoc:Numeric_Value ;  gsoc:hasDataValue " &amp; quote('PM1'!AI19) &amp; "^^xsd:decimal ;  gsoc:hasUOM [ a gsuom:meter ] ] ;   gsoc:hasEndValue [ a gsoc:Numeric_Value ; gsoc:hasDataValue " &amp; quote('PM1'!AJ19) &amp; "^^xsd:decimal ;   gsoc:hasUOM [ a gsuom:meter ]] ; ]  ] ;   ")</f>
        <v xml:space="preserve"> gsoc:hasQuality [  a gsoq:Thickness ;	  gsoc:determinedBy [	a gsoc:Observation ; gsoc:hasDataValue "proved in PM1"@en ] ;   gsoc:hasValue [ a gsoc:Numeric_Value ; gsoc:hasDataValue "45" ^^xsd:decimal ;  gsoc:hasUOM [ a gsuom:meter ]] ] ;   </v>
      </c>
      <c r="G19" s="7" t="str">
        <f>" gsoc:hasSetting [ a  "  &amp; PaleoenvURI &amp;  "  ] ;  "  &amp; makeComment('PM1'!AN19) &amp; "  " &amp; makeComment('PM1'!AO19) &amp;  ".  "</f>
        <v xml:space="preserve"> gsoc:hasSetting [ a  gsen:Inner_Neritic_Setting, gsen:Middle_Neritic_Setting  ] ;  rdfs:comment "Inner to mid marine shelf"@en ;  rdfs:comment "ISBN:9780751837773, ISBN:9780852727720, DOI:10.1144/GOEWP"@en ;.  </v>
      </c>
      <c r="H19" s="7" t="str">
        <f t="shared" si="2"/>
        <v xml:space="preserve">iwh:BaseBartonGroup  a gsog:Rock_Body_Boundary ;  gsoc:hostedBy iwh:strat-BAC;   gsoc:isParticipantIn [ a gspr:Deposition ]  .  </v>
      </c>
      <c r="I19" s="7" t="str">
        <f t="shared" si="3"/>
        <v xml:space="preserve">iwh:TopBartonClay a gsog:Rock_Body_Boundary ;   gsoc:hostedBy iwh:strat-BAC ;   gsoc:isParticipantIn [ a gspr:Deposition ]  .  </v>
      </c>
      <c r="J19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VLOOKUP(UPPER(RIGHT('PM1'!Q19, LEN('PM1'!Q19) - FIND("on_", 'PM1'!Q19) - 2)),LookupAbbrev,2, FALSE)  &amp;  """@en ;   " &amp; makeComment('PM1'!W19) &amp; ".  "</f>
        <v xml:space="preserve">iwh:contact_bac_on_slsy   a gscn:Unconformable_Contact ;     gsoc:hasOlderHost  iwh:strat-SLSY ;   gsoc:hasYoungerHost iwh:BaseBartonGroup  ;  gsoc:hasYoungerHost iwh:strat-BAC  ;  rdfs:label  "Barton Clay Formation, Barton Group  overlies Selsey Sand"@en ;   rdfs:comment "Unconformable"@en ;.  </v>
      </c>
      <c r="K19" s="7" t="str">
        <f t="shared" si="4"/>
        <v xml:space="preserve">iwh:strat-BAC  a gsog:Formation ;  rdfs:label  "Barton Clay Formation, Barton Group"@en ;  gsoq:indirectTemporalOccupies  gstime:Bartonian; rdfs:comment "Gale et al, 1999, DOI: 10.1144/gsjgs.156.2.0327"@en ;  gsoc:isParticipantIn [  a gspr:Deposition; rdfs:label "Deposition during Bartonian"@en ; gsoc:directTemporalOccupies gstime:Bartonian 	] ;   gsoc:isPartOf iwh:strat-BA ;  gsoc:hasPart iwh:BaseBartonGroup ;  gsog:overlies iwh:strat-SLSY ;  gsog:hasMaterialConstituent [ a gslth:Generic_Mudstone ;   gsoc:hasQuality [ a gsoc:Proportion; gsoc:hasValue [a gsoq:Dominant_Constituent ]  ]] ;  rdfs:comment "Locally sandy and glauconitic; locally Nummulites-rich"@en ;   gsoc:hasQuality [  a gsoq:Thickness ;	  gsoc:determinedBy [	a gsoc:Observation ; gsoc:hasDataValue "proved in PM1"@en ] ;   gsoc:hasValue [ a gsoc:Numeric_Value ; gsoc:hasDataValue "45" ^^xsd:decimal ;  gsoc:hasUOM [ a gsuom:meter ]] ] ;    gsoc:hasSetting [ a  gsen:Inner_Neritic_Setting, gsen:Middle_Neritic_Setting  ] ;  rdfs:comment "Inner to mid marine shelf"@en ;  rdfs:comment "ISBN:9780751837773, ISBN:9780852727720, DOI:10.1144/GOEWP"@en ;.  iwh:BaseBartonGroup  a gsog:Rock_Body_Boundary ;  gsoc:hostedBy iwh:strat-BAC;   gsoc:isParticipantIn [ a gspr:Deposition ]  .  iwh:TopBartonClay a gsog:Rock_Body_Boundary ;   gsoc:hostedBy iwh:strat-BAC ;   gsoc:isParticipantIn [ a gspr:Deposition ]  .  iwh:contact_bac_on_slsy   a gscn:Unconformable_Contact ;     gsoc:hasOlderHost  iwh:strat-SLSY ;   gsoc:hasYoungerHost iwh:BaseBartonGroup  ;  gsoc:hasYoungerHost iwh:strat-BAC  ;  rdfs:label  "Barton Clay Formation, Barton Group  overlies Selsey Sand"@en ;   rdfs:comment "Unconformable"@en ;.  </v>
      </c>
    </row>
    <row r="20" spans="1:11" ht="150" x14ac:dyDescent="0.25">
      <c r="A20" s="7" t="str">
        <f t="shared" si="0"/>
        <v xml:space="preserve">iwh:strat-BRB  a gsog:Group ;  rdfs:label  "Bracklesham Group"@en ;  </v>
      </c>
      <c r="B20" s="7" t="str">
        <f>"gsoq:indirectTemporalOccupies  gstime:" &amp; AgeMin &amp; "; " &amp;makeComment('PM1'!P20) &amp; "  "</f>
        <v xml:space="preserve">gsoq:indirectTemporalOccupies  gstime:Ypresian; rdfs:comment "Gale et al, 1999, DOI: 10.1144/gsjgs.156.2.0327"@en ;  </v>
      </c>
      <c r="C20" s="7" t="str">
        <f>"gsoc:isParticipantIn [  a gspr:Deposition; rdfs:label " &amp; quote( "Deposition during " &amp;'PM1'!N20) &amp; "@en ; " &amp; "gsoc:directTemporalOccupies gstime:" &amp; AgeMin &amp; " 	] ;   "</f>
        <v xml:space="preserve">gsoc:isParticipantIn [  a gspr:Deposition; rdfs:label "Deposition during Ypresian"@en ; gsoc:directTemporalOccupies gstime:Ypresian 	] ;   </v>
      </c>
      <c r="D20" s="7" t="str">
        <f t="shared" si="1"/>
        <v xml:space="preserve">gsoc:isPartOf  ;  gsoc:hasPart iwh:BaseBrackleshamGroup ;  gsog:overlies iwh:strat-THAM ;  </v>
      </c>
      <c r="E20" s="7" t="str">
        <f>"gsog:hasMaterialConstituent [ a " &amp; DominantLithURI &amp; " ;   gsoc:hasQuality [ a gsoc:Proportion; gsoc:hasValue [a gsoq:Dominant_Constituent ]  ]] ;  " &amp;  IF(ISBLANK( 'PM1'!AC20), "", "gsog:hasMaterialConstituent [ a " &amp; SubordinateLithURI &amp; "  ;    gsoc:hasQuality [ a gsoc:Proportion ; gsoc:hasValue [a gsoq:Subordinate_Constituent ]  ] ] ; ")  &amp; makeComment('PM1'!AH20) &amp;  "  "</f>
        <v xml:space="preserve">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"Interbedded; includes sandy clays; locally glauconitic &amp; lignitic; locally abundant Nummulites"@en ;  </v>
      </c>
      <c r="F20" s="7" t="str">
        <f>" gsoc:hasQuality [  a gsoq:Thickness ;	  gsoc:determinedBy [	a gsoc:Observation ; gsoc:hasDataValue " &amp; quote('PM1'!AK21 ) &amp; "@en ] ;  " &amp; IF(ISBLANK('PM1'!AJ20), " gsoc:hasValue [ a gsoc:Numeric_Value ; gsoc:hasDataValue " &amp; quote('PM1'!AI20) &amp; " ^^xsd:decimal ;  gsoc:hasUOM [ a gsuom:meter ]] ] ;   ", "  gsoc:hasValue [a gsoc:Quality_Range ;  gsoc:hasStartValue [ a gsoc:Numeric_Value ;  gsoc:hasDataValue " &amp; quote('PM1'!AI20) &amp; "^^xsd:decimal ;  gsoc:hasUOM [ a gsuom:meter ] ] ;   gsoc:hasEndValue [ a gsoc:Numeric_Value ; gsoc:hasDataValue " &amp; quote('PM1'!AJ20) &amp; "^^xsd:decimal ;   gsoc:hasUOM [ a gsuom:meter ]] ; ]  ] ;   ")</f>
        <v xml:space="preserve"> gsoc:hasQuality [  a gsoq:Thickness ;	  gsoc:determinedBy [	a gsoc:Observation ; gsoc:hasDataValue "regional IOW thickness; not proved in PM1"@en ] ;   gsoc:hasValue [ a gsoc:Numeric_Value ; gsoc:hasDataValue "202.7" ^^xsd:decimal ;  gsoc:hasUOM [ a gsuom:meter ]] ] ;   </v>
      </c>
      <c r="G20" s="7" t="str">
        <f>" gsoc:hasSetting [ a  "  &amp; PaleoenvURI &amp;  "  ] ;  "  &amp; makeComment('PM1'!AN20) &amp; "  " &amp; makeComment('PM1'!AO20) &amp;  ".  "</f>
        <v xml:space="preserve"> gsoc:hasSetting [ a  gsen:Inner_Neritic_Setting  ] ;  rdfs:comment "Marginal marine; near-shore shallow marine; shallow marine shelf"@en ;  rdfs:comment "ISBN:9780751837773, ISBN:9780852727720, DOI:10.1144/GOEWP"@en ;.  </v>
      </c>
      <c r="H20" s="7" t="str">
        <f t="shared" si="2"/>
        <v xml:space="preserve">iwh:BaseBrackleshamGroup  a gsog:Rock_Body_Boundary ;  gsoc:hostedBy iwh:strat-BRB;   gsoc:isParticipantIn [ a gspr:Deposition ]  .  </v>
      </c>
      <c r="I20" s="7" t="str">
        <f t="shared" si="3"/>
        <v xml:space="preserve">iwh:TopBrackleshamGroup a gsog:Rock_Body_Boundary ;   gsoc:hostedBy iwh:strat-BRB ;   gsoc:isParticipantIn [ a gspr:Deposition_Hiatus ]  .  </v>
      </c>
      <c r="J20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VLOOKUP(UPPER(RIGHT('PM1'!Q20, LEN('PM1'!Q20) - FIND("on_", 'PM1'!Q20) - 2)),LookupAbbrev,2, FALSE)  &amp;  """@en ;   " &amp; makeComment('PM1'!W20) &amp; ".  "</f>
        <v xml:space="preserve">iwh:contact_brb_on_tham   a gscn:Unconformable_Contact ;     gsoc:hasOlderHost  iwh:strat-THAM ;   gsoc:hasYoungerHost iwh:BaseBrackleshamGroup  ;  gsoc:hasYoungerHost iwh:strat-BRB  ;  rdfs:label  "Bracklesham Group  overlies Thames"@en ;   rdfs:comment "Erosional"@en ;.  </v>
      </c>
      <c r="K20" s="7" t="str">
        <f t="shared" si="4"/>
        <v xml:space="preserve">iwh:strat-BRB  a gsog:Group ;  rdfs:label  "Bracklesham Group"@en ;  gsoq:indirectTemporalOccupies  gstime:Ypresian; rdfs:comment "Gale et al, 1999, DOI: 10.1144/gsjgs.156.2.0327"@en ;  gsoc:isParticipantIn [  a gspr:Deposition; rdfs:label "Deposition during Ypresian"@en ; gsoc:directTemporalOccupies gstime:Ypresian 	] ;   gsoc:isPartOf  ;  gsoc:hasPart iwh:BaseBrackleshamGroup ;  gsog:overlies iwh:strat-THAM ;  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"Interbedded; includes sandy clays; locally glauconitic &amp; lignitic; locally abundant Nummulites"@en ;   gsoc:hasQuality [  a gsoq:Thickness ;	  gsoc:determinedBy [	a gsoc:Observation ; gsoc:hasDataValue "regional IOW thickness; not proved in PM1"@en ] ;   gsoc:hasValue [ a gsoc:Numeric_Value ; gsoc:hasDataValue "202.7" ^^xsd:decimal ;  gsoc:hasUOM [ a gsuom:meter ]] ] ;    gsoc:hasSetting [ a  gsen:Inner_Neritic_Setting  ] ;  rdfs:comment "Marginal marine; near-shore shallow marine; shallow marine shelf"@en ;  rdfs:comment "ISBN:9780751837773, ISBN:9780852727720, DOI:10.1144/GOEWP"@en ;.  iwh:BaseBrackleshamGroup  a gsog:Rock_Body_Boundary ;  gsoc:hostedBy iwh:strat-BRB;   gsoc:isParticipantIn [ a gspr:Deposition ]  .  iwh:TopBrackleshamGroup a gsog:Rock_Body_Boundary ;   gsoc:hostedBy iwh:strat-BRB ;   gsoc:isParticipantIn [ a gspr:Deposition_Hiatus ]  .  iwh:contact_brb_on_tham   a gscn:Unconformable_Contact ;     gsoc:hasOlderHost  iwh:strat-THAM ;   gsoc:hasYoungerHost iwh:BaseBrackleshamGroup  ;  gsoc:hasYoungerHost iwh:strat-BRB  ;  rdfs:label  "Bracklesham Group  overlies Thames"@en ;   rdfs:comment "Erosional"@en ;.  </v>
      </c>
    </row>
    <row r="21" spans="1:11" ht="165" x14ac:dyDescent="0.25">
      <c r="A21" s="7" t="str">
        <f t="shared" si="0"/>
        <v xml:space="preserve">iwh:strat-SLSY  a gsog:Formation ;  rdfs:label  "Selsey Sand Formation, Bracklesham Group"@en ;  </v>
      </c>
      <c r="B21" s="7" t="str">
        <f>"gsoq:indirectTemporalOccupies  gstime:" &amp; AgeMin &amp; "; " &amp;makeComment('PM1'!P21) &amp; "  "</f>
        <v xml:space="preserve">gsoq:indirectTemporalOccupies  gstime:Lutetian; rdfs:comment "Gale et al, 1999, DOI: 10.1144/gsjgs.156.2.0327"@en ;  </v>
      </c>
      <c r="C21" s="7" t="str">
        <f>"gsoc:isParticipantIn [  a gspr:Deposition; rdfs:label " &amp; quote( "Deposition during " &amp;'PM1'!N21) &amp; "@en ; " &amp; "gsoc:directTemporalOccupies gstime:" &amp; AgeMin &amp; " 	] ;   "</f>
        <v xml:space="preserve">gsoc:isParticipantIn [  a gspr:Deposition; rdfs:label "Deposition during Lutetian"@en ; gsoc:directTemporalOccupies gstime:Lutetian 	] ;   </v>
      </c>
      <c r="D21" s="7" t="str">
        <f t="shared" si="1"/>
        <v xml:space="preserve">gsoc:isPartOf iwh:strat-BRB ;  gsoc:hasPart iwh:BaseSelseySand ;  gsog:overlies iwh:strat-MARF ;  </v>
      </c>
      <c r="E21" s="7" t="str">
        <f>"gsog:hasMaterialConstituent [ a " &amp; DominantLithURI &amp; " ;   gsoc:hasQuality [ a gsoc:Proportion; gsoc:hasValue [a gsoq:Dominant_Constituent ]  ]] ;  " &amp;  IF(ISBLANK( 'PM1'!AC21), "", "gsog:hasMaterialConstituent [ a " &amp; SubordinateLithURI &amp; "  ;    gsoc:hasQuality [ a gsoc:Proportion ; gsoc:hasValue [a gsoq:Subordinate_Constituent ]  ] ] ; ")  &amp; makeComment('PM1'!AH21) &amp;  "  "</f>
        <v xml:space="preserve">gsog:hasMaterialConstituent [ a gslth:Arenite ;   gsoc:hasQuality [ a gsoc:Proportion; gsoc:hasValue [a gsoq:Dominant_Constituent ]  ]] ;  gsog:hasMaterialConstituent [ a gslth:Siltstone  ;    gsoc:hasQuality [ a gsoc:Proportion ; gsoc:hasValue [a gsoq:Subordinate_Constituent ]  ] ] ; rdfs:comment "interbedded; includes silty clay; glauconitic; locally shelly; locally abundant Nummulites"@en ;  </v>
      </c>
      <c r="F21" s="7" t="str">
        <f>" gsoc:hasQuality [  a gsoq:Thickness ;	  gsoc:determinedBy [	a gsoc:Observation ; gsoc:hasDataValue " &amp; quote('PM1'!AK22 ) &amp; "@en ] ;  " &amp; IF(ISBLANK('PM1'!AJ21), " gsoc:hasValue [ a gsoc:Numeric_Value ; gsoc:hasDataValue " &amp; quote('PM1'!AI21) &amp; " ^^xsd:decimal ;  gsoc:hasUOM [ a gsuom:meter ]] ] ;   ", "  gsoc:hasValue [a gsoc:Quality_Range ;  gsoc:hasStartValue [ a gsoc:Numeric_Value ;  gsoc:hasDataValue " &amp; quote('PM1'!AI21) &amp; "^^xsd:decimal ;  gsoc:hasUOM [ a gsuom:meter ] ] ;   gsoc:hasEndValue [ a gsoc:Numeric_Value ; gsoc:hasDataValue " &amp; quote('PM1'!AJ21)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"43"^^xsd:decimal ;   gsoc:hasUOM [ a gsuom:meter ]] ; ]  ] ;   </v>
      </c>
      <c r="G21" s="7" t="str">
        <f>" gsoc:hasSetting [ a  "  &amp; PaleoenvURI &amp;  "  ] ;  "  &amp; makeComment('PM1'!AN21) &amp; "  " &amp; makeComment('PM1'!AO21) &amp;  ".  "</f>
        <v xml:space="preserve"> gsoc:hasSetting [ a  gsen:Inner_Neritic_Setting  ] ;  rdfs:comment "Inner marine shelf"@en ;  rdfs:comment "ISBN:9780751837773, ISBN:9780852727720, DOI:10.1144/GOEWP"@en ;.  </v>
      </c>
      <c r="H21" s="7" t="str">
        <f t="shared" si="2"/>
        <v xml:space="preserve">iwh:BaseSelseySand  a gsog:Rock_Body_Boundary ;  gsoc:hostedBy iwh:strat-SLSY;   gsoc:isParticipantIn [ a gspr:Deposition ]  .  </v>
      </c>
      <c r="I21" s="7" t="str">
        <f t="shared" si="3"/>
        <v xml:space="preserve">iwh:TopSelseySand a gsog:Rock_Body_Boundary ;   gsoc:hostedBy iwh:strat-SLSY ;   gsoc:isParticipantIn [ a gspr:Erosion ]  .  </v>
      </c>
      <c r="J21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VLOOKUP(UPPER(RIGHT('PM1'!Q21, LEN('PM1'!Q21) - FIND("on_", 'PM1'!Q21) - 2)),LookupAbbrev,2, FALSE)  &amp;  """@en ;   " &amp; makeComment('PM1'!W21) &amp; ".  "</f>
        <v xml:space="preserve">iwh:contact_slsy_on_marf   a gscn:Paraconformable_Contact ;     gsoc:hasOlderHost  iwh:strat-MARF ;   gsoc:hasYoungerHost iwh:BaseSelseySand  ;  gsoc:hasYoungerHost iwh:strat-SLSY  ;  rdfs:label  "Selsey Sand Formation, Bracklesham Group  overlies Marsh Farm"@en ;   rdfs:comment "Omission surface"@en ;.  </v>
      </c>
      <c r="K21" s="7" t="str">
        <f t="shared" si="4"/>
        <v xml:space="preserve">iwh:strat-SLSY  a gsog:Formation ;  rdfs:label  "Selsey Sand Formation, Bracklesham Group"@en ;  gsoq:indirectTemporalOccupies  gstime:Lutetian; rdfs:comment "Gale et al, 1999, DOI: 10.1144/gsjgs.156.2.0327"@en ;  gsoc:isParticipantIn [  a gspr:Deposition; rdfs:label "Deposition during Lutetian"@en ; gsoc:directTemporalOccupies gstime:Lutetian 	] ;   gsoc:isPartOf iwh:strat-BRB ;  gsoc:hasPart iwh:BaseSelseySand ;  gsog:overlies iwh:strat-MARF ;  gsog:hasMaterialConstituent [ a gslth:Arenite ;   gsoc:hasQuality [ a gsoc:Proportion; gsoc:hasValue [a gsoq:Dominant_Constituent ]  ]] ;  gsog:hasMaterialConstituent [ a gslth:Siltstone  ;    gsoc:hasQuality [ a gsoc:Proportion ; gsoc:hasValue [a gsoq:Subordinate_Constituent ]  ] ] ; rdfs:comment "interbedded; includes silty clay; glauconitic; locally shelly; locally abundant Nummulites"@en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"43"^^xsd:decimal ;   gsoc:hasUOM [ a gsuom:meter ]] ; ]  ] ;    gsoc:hasSetting [ a  gsen:Inner_Neritic_Setting  ] ;  rdfs:comment "Inner marine shelf"@en ;  rdfs:comment "ISBN:9780751837773, ISBN:9780852727720, DOI:10.1144/GOEWP"@en ;.  iwh:BaseSelseySand  a gsog:Rock_Body_Boundary ;  gsoc:hostedBy iwh:strat-SLSY;   gsoc:isParticipantIn [ a gspr:Deposition ]  .  iwh:TopSelseySand a gsog:Rock_Body_Boundary ;   gsoc:hostedBy iwh:strat-SLSY ;   gsoc:isParticipantIn [ a gspr:Erosion ]  .  iwh:contact_slsy_on_marf   a gscn:Paraconformable_Contact ;     gsoc:hasOlderHost  iwh:strat-MARF ;   gsoc:hasYoungerHost iwh:BaseSelseySand  ;  gsoc:hasYoungerHost iwh:strat-SLSY  ;  rdfs:label  "Selsey Sand Formation, Bracklesham Group  overlies Marsh Farm"@en ;   rdfs:comment "Omission surface"@en ;.  </v>
      </c>
    </row>
    <row r="22" spans="1:11" ht="165" x14ac:dyDescent="0.25">
      <c r="A22" s="7" t="str">
        <f t="shared" si="0"/>
        <v xml:space="preserve">iwh:strat-MARF  a gsog:Formation ;  rdfs:label  "Marsh Farm Formation, Bracklesham Group"@en ;  </v>
      </c>
      <c r="B22" s="7" t="str">
        <f>"gsoq:indirectTemporalOccupies  gstime:" &amp; AgeMin &amp; "; " &amp;makeComment('PM1'!P22) &amp; "  "</f>
        <v xml:space="preserve">gsoq:indirectTemporalOccupies  gstime:Lutetian; rdfs:comment "Gale et al, 1999, DOI: 10.1144/gsjgs.156.2.0327"@en ;  </v>
      </c>
      <c r="C22" s="7" t="str">
        <f>"gsoc:isParticipantIn [  a gspr:Deposition; rdfs:label " &amp; quote( "Deposition during " &amp;'PM1'!N22) &amp; "@en ; " &amp; "gsoc:directTemporalOccupies gstime:" &amp; AgeMin &amp; " 	] ;   "</f>
        <v xml:space="preserve">gsoc:isParticipantIn [  a gspr:Deposition; rdfs:label "Deposition during Lutetian"@en ; gsoc:directTemporalOccupies gstime:Lutetian 	] ;   </v>
      </c>
      <c r="D22" s="7" t="str">
        <f t="shared" si="1"/>
        <v xml:space="preserve">gsoc:isPartOf iwh:strat-BRB ;  gsoc:hasPart iwh:BaseMarshFarm ;  gsog:overlies iwh:strat-EA ;  </v>
      </c>
      <c r="E22" s="7" t="str">
        <f>"gsog:hasMaterialConstituent [ a " &amp; DominantLithURI &amp; " ;   gsoc:hasQuality [ a gsoc:Proportion; gsoc:hasValue [a gsoq:Dominant_Constituent ]  ]] ;  " &amp;  IF(ISBLANK( 'PM1'!AC22), "", "gsog:hasMaterialConstituent [ a " &amp; SubordinateLithURI &amp; "  ;    gsoc:hasQuality [ a gsoc:Proportion ; gsoc:hasValue [a gsoq:Subordinate_Constituent ]  ] ] ; ")  &amp; makeComment('PM1'!AH22) &amp;  "  "</f>
        <v xml:space="preserve">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"Includes clay &amp; thin lignite beds"@en ;  </v>
      </c>
      <c r="F22" s="7" t="str">
        <f>" gsoc:hasQuality [  a gsoq:Thickness ;	  gsoc:determinedBy [	a gsoc:Observation ; gsoc:hasDataValue " &amp; quote('PM1'!AK23 ) &amp; "@en ] ;  " &amp; IF(ISBLANK('PM1'!AJ22), " gsoc:hasValue [ a gsoc:Numeric_Value ; gsoc:hasDataValue " &amp; quote('PM1'!AI22) &amp; " ^^xsd:decimal ;  gsoc:hasUOM [ a gsuom:meter ]] ] ;   ", "  gsoc:hasValue [a gsoc:Quality_Range ;  gsoc:hasStartValue [ a gsoc:Numeric_Value ;  gsoc:hasDataValue " &amp; quote('PM1'!AI22) &amp; "^^xsd:decimal ;  gsoc:hasUOM [ a gsuom:meter ] ] ;   gsoc:hasEndValue [ a gsoc:Numeric_Value ; gsoc:hasDataValue " &amp; quote('PM1'!AJ22)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"18"^^xsd:decimal ;   gsoc:hasUOM [ a gsuom:meter ]] ; ]  ] ;   </v>
      </c>
      <c r="G22" s="7" t="str">
        <f>" gsoc:hasSetting [ a  "  &amp; PaleoenvURI &amp;  "  ] ;  "  &amp; makeComment('PM1'!AN22) &amp; "  " &amp; makeComment('PM1'!AO22) &amp;  ".  "</f>
        <v xml:space="preserve"> gsoc:hasSetting [ a  gsen:Shoreline_Setting, gsen:Inner_Neritic_Setting  ] ;  rdfs:comment "Near-shore shallow marine to marginal marine"@en ;  rdfs:comment "ISBN:9780751837773, ISBN:9780852727720, DOI:10.1144/GOEWP"@en ;.  </v>
      </c>
      <c r="H22" s="7" t="str">
        <f t="shared" si="2"/>
        <v xml:space="preserve">iwh:BaseMarshFarm  a gsog:Rock_Body_Boundary ;  gsoc:hostedBy iwh:strat-MARF;   gsoc:isParticipantIn [ a gspr:Deposition ]  .  </v>
      </c>
      <c r="I22" s="7" t="str">
        <f t="shared" si="3"/>
        <v xml:space="preserve">iwh:TopMarshFarm a gsog:Rock_Body_Boundary ;   gsoc:hostedBy iwh:strat-MARF ;   gsoc:isParticipantIn [ a gspr:Deposition_Hiatus ]  .  </v>
      </c>
      <c r="J22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VLOOKUP(UPPER(RIGHT('PM1'!Q22, LEN('PM1'!Q22) - FIND("on_", 'PM1'!Q22) - 2)),LookupAbbrev,2, FALSE)  &amp;  """@en ;   " &amp; makeComment('PM1'!W22) &amp; ".  "</f>
        <v xml:space="preserve">iwh:contact_marf_on_ea   a gscn:Unconformable_Contact ;     gsoc:hasOlderHost  iwh:strat-EA ;   gsoc:hasYoungerHost iwh:BaseMarshFarm  ;  gsoc:hasYoungerHost iwh:strat-MARF  ;  rdfs:label  "Marsh Farm Formation, Bracklesham Group  overlies Earnley Sand"@en ;   rdfs:comment "Erosional"@en ;.  </v>
      </c>
      <c r="K22" s="7" t="str">
        <f t="shared" si="4"/>
        <v xml:space="preserve">iwh:strat-MARF  a gsog:Formation ;  rdfs:label  "Marsh Farm Formation, Bracklesham Group"@en ;  gsoq:indirectTemporalOccupies  gstime:Lutetian; rdfs:comment "Gale et al, 1999, DOI: 10.1144/gsjgs.156.2.0327"@en ;  gsoc:isParticipantIn [  a gspr:Deposition; rdfs:label "Deposition during Lutetian"@en ; gsoc:directTemporalOccupies gstime:Lutetian 	] ;   gsoc:isPartOf iwh:strat-BRB ;  gsoc:hasPart iwh:BaseMarshFarm ;  gsog:overlies iwh:strat-EA ;  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"Includes clay &amp; thin lignite beds"@en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"18"^^xsd:decimal ;   gsoc:hasUOM [ a gsuom:meter ]] ; ]  ] ;    gsoc:hasSetting [ a  gsen:Shoreline_Setting, gsen:Inner_Neritic_Setting  ] ;  rdfs:comment "Near-shore shallow marine to marginal marine"@en ;  rdfs:comment "ISBN:9780751837773, ISBN:9780852727720, DOI:10.1144/GOEWP"@en ;.  iwh:BaseMarshFarm  a gsog:Rock_Body_Boundary ;  gsoc:hostedBy iwh:strat-MARF;   gsoc:isParticipantIn [ a gspr:Deposition ]  .  iwh:TopMarshFarm a gsog:Rock_Body_Boundary ;   gsoc:hostedBy iwh:strat-MARF ;   gsoc:isParticipantIn [ a gspr:Deposition_Hiatus ]  .  iwh:contact_marf_on_ea   a gscn:Unconformable_Contact ;     gsoc:hasOlderHost  iwh:strat-EA ;   gsoc:hasYoungerHost iwh:BaseMarshFarm  ;  gsoc:hasYoungerHost iwh:strat-MARF  ;  rdfs:label  "Marsh Farm Formation, Bracklesham Group  overlies Earnley Sand"@en ;   rdfs:comment "Erosional"@en ;.  </v>
      </c>
    </row>
    <row r="23" spans="1:11" ht="150" x14ac:dyDescent="0.25">
      <c r="A23" s="7" t="str">
        <f t="shared" si="0"/>
        <v xml:space="preserve">iwh:strat-EA  a gsog:Formation ;  rdfs:label  "Earnley Sand Formation, Bracklesham Group"@en ;  </v>
      </c>
      <c r="B23" s="7" t="str">
        <f>"gsoq:indirectTemporalOccupies  gstime:" &amp; AgeMin &amp; "; " &amp;makeComment('PM1'!P23) &amp; "  "</f>
        <v xml:space="preserve">gsoq:indirectTemporalOccupies  gstime:Lutetian; rdfs:comment "Gale et al, 1999, DOI: 10.1144/gsjgs.156.2.0327"@en ;  </v>
      </c>
      <c r="C23" s="7" t="str">
        <f>"gsoc:isParticipantIn [  a gspr:Deposition; rdfs:label " &amp; quote( "Deposition during " &amp;'PM1'!N23) &amp; "@en ; " &amp; "gsoc:directTemporalOccupies gstime:" &amp; AgeMin &amp; " 	] ;   "</f>
        <v xml:space="preserve">gsoc:isParticipantIn [  a gspr:Deposition; rdfs:label "Deposition during Lutetian"@en ; gsoc:directTemporalOccupies gstime:Lutetian 	] ;   </v>
      </c>
      <c r="D23" s="7" t="str">
        <f t="shared" si="1"/>
        <v xml:space="preserve">gsoc:isPartOf iwh:strat-BRB ;  gsoc:hasPart iwh:BaseEarnleySand ;  gsog:overlies iwh:strat-WTT ;  </v>
      </c>
      <c r="E23" s="7" t="str">
        <f>"gsog:hasMaterialConstituent [ a " &amp; DominantLithURI &amp; " ;   gsoc:hasQuality [ a gsoc:Proportion; gsoc:hasValue [a gsoq:Dominant_Constituent ]  ]] ;  " &amp;  IF(ISBLANK( 'PM1'!AC23), "", "gsog:hasMaterialConstituent [ a " &amp; SubordinateLithURI &amp; "  ;    gsoc:hasQuality [ a gsoc:Proportion ; gsoc:hasValue [a gsoq:Subordinate_Constituent ]  ] ] ; ")  &amp; makeComment('PM1'!AH23) &amp;  "  "</f>
        <v xml:space="preserve">gsog:hasMaterialConstituent [ a gslth:Arenite ;   gsoc:hasQuality [ a gsoc:Proportion; gsoc:hasValue [a gsoq:Dominant_Constituent ]  ]] ;  rdfs:comment "Very shelly; glauconitic; locally abundant Nummulites"@en ;  </v>
      </c>
      <c r="F23" s="7" t="str">
        <f>" gsoc:hasQuality [  a gsoq:Thickness ;	  gsoc:determinedBy [	a gsoc:Observation ; gsoc:hasDataValue " &amp; quote('PM1'!AK24 ) &amp; "@en ] ;  " &amp; IF(ISBLANK('PM1'!AJ23), " gsoc:hasValue [ a gsoc:Numeric_Value ; gsoc:hasDataValue " &amp; quote('PM1'!AI23) &amp; " ^^xsd:decimal ;  gsoc:hasUOM [ a gsuom:meter ]] ] ;   ", "  gsoc:hasValue [a gsoc:Quality_Range ;  gsoc:hasStartValue [ a gsoc:Numeric_Value ;  gsoc:hasDataValue " &amp; quote('PM1'!AI23) &amp; "^^xsd:decimal ;  gsoc:hasUOM [ a gsuom:meter ] ] ;   gsoc:hasEndValue [ a gsoc:Numeric_Value ; gsoc:hasDataValue " &amp; quote('PM1'!AJ23)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"22"^^xsd:decimal ;   gsoc:hasUOM [ a gsuom:meter ]] ; ]  ] ;   </v>
      </c>
      <c r="G23" s="7" t="str">
        <f>" gsoc:hasSetting [ a  "  &amp; PaleoenvURI &amp;  "  ] ;  "  &amp; makeComment('PM1'!AN23) &amp; "  " &amp; makeComment('PM1'!AO23) &amp;  ".  "</f>
        <v xml:space="preserve"> gsoc:hasSetting [ a  gsen:Inner_Neritic_Setting  ] ;  rdfs:comment "Inner marine shelf"@en ;  rdfs:comment "ISBN:9780751837773, ISBN:9780852727720, DOI:10.1144/GOEWP"@en ;.  </v>
      </c>
      <c r="H23" s="7" t="str">
        <f t="shared" si="2"/>
        <v xml:space="preserve">iwh:BaseEarnleySand  a gsog:Rock_Body_Boundary ;  gsoc:hostedBy iwh:strat-EA;   gsoc:isParticipantIn [ a gspr:Deposition ]  .  </v>
      </c>
      <c r="I23" s="7" t="str">
        <f t="shared" si="3"/>
        <v xml:space="preserve">iwh:TopEarnleySand a gsog:Rock_Body_Boundary ;   gsoc:hostedBy iwh:strat-EA ;   gsoc:isParticipantIn [ a gspr:Erosion ]  .  </v>
      </c>
      <c r="J23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VLOOKUP(UPPER(RIGHT('PM1'!Q23, LEN('PM1'!Q23) - FIND("on_", 'PM1'!Q23) - 2)),LookupAbbrev,2, FALSE)  &amp;  """@en ;   " &amp; makeComment('PM1'!W23) &amp; ".  "</f>
        <v xml:space="preserve">iwh:contact_ea_on_wtt   a gscn:Paraconformable_Contact ;     gsoc:hasOlderHost  iwh:strat-WTT ;   gsoc:hasYoungerHost iwh:BaseEarnleySand  ;  gsoc:hasYoungerHost iwh:strat-EA  ;  rdfs:label  "Earnley Sand Formation, Bracklesham Group  overlies Wittering"@en ;   rdfs:comment "Omission surface"@en ;.  </v>
      </c>
      <c r="K23" s="7" t="str">
        <f t="shared" si="4"/>
        <v xml:space="preserve">iwh:strat-EA  a gsog:Formation ;  rdfs:label  "Earnley Sand Formation, Bracklesham Group"@en ;  gsoq:indirectTemporalOccupies  gstime:Lutetian; rdfs:comment "Gale et al, 1999, DOI: 10.1144/gsjgs.156.2.0327"@en ;  gsoc:isParticipantIn [  a gspr:Deposition; rdfs:label "Deposition during Lutetian"@en ; gsoc:directTemporalOccupies gstime:Lutetian 	] ;   gsoc:isPartOf iwh:strat-BRB ;  gsoc:hasPart iwh:BaseEarnleySand ;  gsog:overlies iwh:strat-WTT ;  gsog:hasMaterialConstituent [ a gslth:Arenite ;   gsoc:hasQuality [ a gsoc:Proportion; gsoc:hasValue [a gsoq:Dominant_Constituent ]  ]] ;  rdfs:comment "Very shelly; glauconitic; locally abundant Nummulites"@en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"22"^^xsd:decimal ;   gsoc:hasUOM [ a gsuom:meter ]] ; ]  ] ;    gsoc:hasSetting [ a  gsen:Inner_Neritic_Setting  ] ;  rdfs:comment "Inner marine shelf"@en ;  rdfs:comment "ISBN:9780751837773, ISBN:9780852727720, DOI:10.1144/GOEWP"@en ;.  iwh:BaseEarnleySand  a gsog:Rock_Body_Boundary ;  gsoc:hostedBy iwh:strat-EA;   gsoc:isParticipantIn [ a gspr:Deposition ]  .  iwh:TopEarnleySand a gsog:Rock_Body_Boundary ;   gsoc:hostedBy iwh:strat-EA ;   gsoc:isParticipantIn [ a gspr:Erosion ]  .  iwh:contact_ea_on_wtt   a gscn:Paraconformable_Contact ;     gsoc:hasOlderHost  iwh:strat-WTT ;   gsoc:hasYoungerHost iwh:BaseEarnleySand  ;  gsoc:hasYoungerHost iwh:strat-EA  ;  rdfs:label  "Earnley Sand Formation, Bracklesham Group  overlies Wittering"@en ;   rdfs:comment "Omission surface"@en ;.  </v>
      </c>
    </row>
    <row r="24" spans="1:11" ht="165" x14ac:dyDescent="0.25">
      <c r="A24" s="7" t="str">
        <f t="shared" si="0"/>
        <v xml:space="preserve">iwh:strat-WTT  a gsog:Formation ;  rdfs:label  "Wittering Formation, Bracklesham Group"@en ;  </v>
      </c>
      <c r="B24" s="7" t="str">
        <f>"gsoq:indirectTemporalOccupies  gstime:" &amp; AgeMin &amp; "; " &amp;makeComment('PM1'!P24) &amp; "  "</f>
        <v xml:space="preserve">gsoq:indirectTemporalOccupies  gstime:Ypresian; rdfs:comment "Gale et al, 1999, DOI: 10.1144/gsjgs.156.2.0327"@en ;  </v>
      </c>
      <c r="C24" s="7" t="str">
        <f>"gsoc:isParticipantIn [  a gspr:Deposition; rdfs:label " &amp; quote( "Deposition during " &amp;'PM1'!N24) &amp; "@en ; " &amp; "gsoc:directTemporalOccupies gstime:" &amp; AgeMin &amp; " 	] ;   "</f>
        <v xml:space="preserve">gsoc:isParticipantIn [  a gspr:Deposition; rdfs:label "Deposition during Ypresian"@en ; gsoc:directTemporalOccupies gstime:Ypresian 	] ;   </v>
      </c>
      <c r="D24" s="7" t="str">
        <f t="shared" si="1"/>
        <v xml:space="preserve">gsoc:isPartOf iwh:strat-BRB ;  gsoc:hasPart iwh:BaseBrackleshamGroup ;  gsog:overlies iwh:strat-LC ;  </v>
      </c>
      <c r="E24" s="7" t="str">
        <f>"gsog:hasMaterialConstituent [ a " &amp; DominantLithURI &amp; " ;   gsoc:hasQuality [ a gsoc:Proportion; gsoc:hasValue [a gsoq:Dominant_Constituent ]  ]] ;  " &amp;  IF(ISBLANK( 'PM1'!AC24), "", "gsog:hasMaterialConstituent [ a " &amp; SubordinateLithURI &amp; "  ;    gsoc:hasQuality [ a gsoc:Proportion ; gsoc:hasValue [a gsoq:Subordinate_Constituent ]  ] ] ; ")  &amp; makeComment('PM1'!AH24) &amp;  "  "</f>
        <v xml:space="preserve">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"Glauconitic; lignitic; includes cross-bedded sands"@en ;  </v>
      </c>
      <c r="F24" s="7" t="str">
        <f>" gsoc:hasQuality [  a gsoq:Thickness ;	  gsoc:determinedBy [	a gsoc:Observation ; gsoc:hasDataValue " &amp; quote('PM1'!AK25 ) &amp; "@en ] ;  " &amp; IF(ISBLANK('PM1'!AJ24), " gsoc:hasValue [ a gsoc:Numeric_Value ; gsoc:hasDataValue " &amp; quote('PM1'!AI24) &amp; " ^^xsd:decimal ;  gsoc:hasUOM [ a gsuom:meter ]] ] ;   ", "  gsoc:hasValue [a gsoc:Quality_Range ;  gsoc:hasStartValue [ a gsoc:Numeric_Value ;  gsoc:hasDataValue " &amp; quote('PM1'!AI24) &amp; "^^xsd:decimal ;  gsoc:hasUOM [ a gsuom:meter ] ] ;   gsoc:hasEndValue [ a gsoc:Numeric_Value ; gsoc:hasDataValue " &amp; quote('PM1'!AJ24) &amp; "^^xsd:decimal ;   gsoc:hasUOM [ a gsuom:meter ]] ; ]  ] ;   ")</f>
        <v xml:space="preserve"> gsoc:hasQuality [  a gsoq:Thickness ;	  gsoc:determinedBy [	a gsoc:Observation ; gsoc:hasDataValue "proved in PM1"@en ] ;    gsoc:hasValue [a gsoc:Quality_Range ;  gsoc:hasStartValue [ a gsoc:Numeric_Value ;  gsoc:hasDataValue "76"^^xsd:decimal ;  gsoc:hasUOM [ a gsuom:meter ] ] ;   gsoc:hasEndValue [ a gsoc:Numeric_Value ; gsoc:hasDataValue "90"^^xsd:decimal ;   gsoc:hasUOM [ a gsuom:meter ]] ; ]  ] ;   </v>
      </c>
      <c r="G24" s="7" t="str">
        <f>" gsoc:hasSetting [ a  "  &amp; PaleoenvURI &amp;  "  ] ;  "  &amp; makeComment('PM1'!AN24) &amp; "  " &amp; makeComment('PM1'!AO24) &amp;  ".  "</f>
        <v xml:space="preserve"> gsoc:hasSetting [ a  gsen:Shoreline_Setting, gsen:Inner_Neritic_Setting  ] ;  rdfs:comment "Near-shore shallow marine to marginal marine"@en ;  rdfs:comment "ISBN:9780751837773, ISBN:9780852727720, DOI:10.1144/GOEWP"@en ;.  </v>
      </c>
      <c r="H24" s="7" t="str">
        <f t="shared" si="2"/>
        <v xml:space="preserve">iwh:BaseBrackleshamGroup  a gsog:Rock_Body_Boundary ;  gsoc:hostedBy iwh:strat-WTT;   gsoc:isParticipantIn [ a gspr:Deposition ]  .  </v>
      </c>
      <c r="I24" s="7" t="str">
        <f t="shared" si="3"/>
        <v xml:space="preserve">iwh:TopWittering a gsog:Rock_Body_Boundary ;   gsoc:hostedBy iwh:strat-WTT ;   gsoc:isParticipantIn [ a gspr:Deposition_Hiatus ]  .  </v>
      </c>
      <c r="J24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VLOOKUP(UPPER(RIGHT('PM1'!Q24, LEN('PM1'!Q24) - FIND("on_", 'PM1'!Q24) - 2)),LookupAbbrev,2, FALSE)  &amp;  """@en ;   " &amp; makeComment('PM1'!W24) &amp; ".  "</f>
        <v xml:space="preserve">iwh:contact_wtt_on_lc   a gscn:Unconformable_Contact ;     gsoc:hasOlderHost  iwh:strat-LC ;   gsoc:hasYoungerHost iwh:BaseBrackleshamGroup  ;  gsoc:hasYoungerHost iwh:strat-WTT  ;  rdfs:label  "Wittering Formation, Bracklesham Group  overlies London Clay"@en ;   rdfs:comment "Erosional"@en ;.  </v>
      </c>
      <c r="K24" s="7" t="str">
        <f t="shared" si="4"/>
        <v xml:space="preserve">iwh:strat-WTT  a gsog:Formation ;  rdfs:label  "Wittering Formation, Bracklesham Group"@en ;  gsoq:indirectTemporalOccupies  gstime:Ypresian; rdfs:comment "Gale et al, 1999, DOI: 10.1144/gsjgs.156.2.0327"@en ;  gsoc:isParticipantIn [  a gspr:Deposition; rdfs:label "Deposition during Ypresian"@en ; gsoc:directTemporalOccupies gstime:Ypresian 	] ;   gsoc:isPartOf iwh:strat-BRB ;  gsoc:hasPart iwh:BaseBrackleshamGroup ;  gsog:overlies iwh:strat-LC ;  gsog:hasMaterialConstituent [ a gslth:Generic_Mudstone ;   gsoc:hasQuality [ a gsoc:Proportion; gsoc:hasValue [a gsoq:Dominant_Constituent ]  ]] ;  gsog:hasMaterialConstituent [ a gslth:Arenite  ;    gsoc:hasQuality [ a gsoc:Proportion ; gsoc:hasValue [a gsoq:Subordinate_Constituent ]  ] ] ; rdfs:comment "Glauconitic; lignitic; includes cross-bedded sands"@en ;   gsoc:hasQuality [  a gsoq:Thickness ;	  gsoc:determinedBy [	a gsoc:Observation ; gsoc:hasDataValue "proved in PM1"@en ] ;    gsoc:hasValue [a gsoc:Quality_Range ;  gsoc:hasStartValue [ a gsoc:Numeric_Value ;  gsoc:hasDataValue "76"^^xsd:decimal ;  gsoc:hasUOM [ a gsuom:meter ] ] ;   gsoc:hasEndValue [ a gsoc:Numeric_Value ; gsoc:hasDataValue "90"^^xsd:decimal ;   gsoc:hasUOM [ a gsuom:meter ]] ; ]  ] ;    gsoc:hasSetting [ a  gsen:Shoreline_Setting, gsen:Inner_Neritic_Setting  ] ;  rdfs:comment "Near-shore shallow marine to marginal marine"@en ;  rdfs:comment "ISBN:9780751837773, ISBN:9780852727720, DOI:10.1144/GOEWP"@en ;.  iwh:BaseBrackleshamGroup  a gsog:Rock_Body_Boundary ;  gsoc:hostedBy iwh:strat-WTT;   gsoc:isParticipantIn [ a gspr:Deposition ]  .  iwh:TopWittering a gsog:Rock_Body_Boundary ;   gsoc:hostedBy iwh:strat-WTT ;   gsoc:isParticipantIn [ a gspr:Deposition_Hiatus ]  .  iwh:contact_wtt_on_lc   a gscn:Unconformable_Contact ;     gsoc:hasOlderHost  iwh:strat-LC ;   gsoc:hasYoungerHost iwh:BaseBrackleshamGroup  ;  gsoc:hasYoungerHost iwh:strat-WTT  ;  rdfs:label  "Wittering Formation, Bracklesham Group  overlies London Clay"@en ;   rdfs:comment "Erosional"@en ;.  </v>
      </c>
    </row>
    <row r="25" spans="1:11" ht="135" x14ac:dyDescent="0.25">
      <c r="A25" s="7" t="str">
        <f t="shared" si="0"/>
        <v xml:space="preserve">iwh:strat-THAM  a gsog:Group ;  rdfs:label  "Thames Group"@en ;  </v>
      </c>
      <c r="B25" s="7" t="str">
        <f>"gsoq:indirectTemporalOccupies  gstime:" &amp; AgeMin &amp; "; " &amp;makeComment('PM1'!P25) &amp; "  "</f>
        <v xml:space="preserve">gsoq:indirectTemporalOccupies  gstime:Ypresian; rdfs:comment "Gale et al, 1999, DOI: 10.1144/gsjgs.156.2.0327"@en ;  </v>
      </c>
      <c r="C25" s="7" t="str">
        <f>"gsoc:isParticipantIn [  a gspr:Deposition; rdfs:label " &amp; quote( "Deposition during " &amp;'PM1'!N25) &amp; "@en ; " &amp; "gsoc:directTemporalOccupies gstime:" &amp; AgeMin &amp; " 	] ;   "</f>
        <v xml:space="preserve">gsoc:isParticipantIn [  a gspr:Deposition; rdfs:label "Deposition during Ypresian"@en ; gsoc:directTemporalOccupies gstime:Ypresian 	] ;   </v>
      </c>
      <c r="D25" s="7" t="str">
        <f t="shared" si="1"/>
        <v xml:space="preserve">gsoc:isPartOf  ;  gsoc:hasPart iwh:BaseThamesGroup ;  gsog:overlies iwh:strat-LMBE ;  </v>
      </c>
      <c r="E25" s="7" t="str">
        <f>"gsog:hasMaterialConstituent [ a " &amp; DominantLithURI &amp; " ;   gsoc:hasQuality [ a gsoc:Proportion; gsoc:hasValue [a gsoq:Dominant_Constituent ]  ]] ;  " &amp;  IF(ISBLANK( 'PM1'!AC25), "", "gsog:hasMaterialConstituent [ a " &amp; SubordinateLithURI &amp; "  ;    gsoc:hasQuality [ a gsoc:Proportion ; gsoc:hasValue [a gsoq:Subordinate_Constituent ]  ] ] ; ")  &amp; makeComment('PM1'!AH25) &amp;  "  "</f>
        <v xml:space="preserve">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""@en ;  </v>
      </c>
      <c r="F25" s="7" t="str">
        <f>" gsoc:hasQuality [  a gsoq:Thickness ;	  gsoc:determinedBy [	a gsoc:Observation ; gsoc:hasDataValue " &amp; quote('PM1'!AK26 ) &amp; "@en ] ;  " &amp; IF(ISBLANK('PM1'!AJ25), " gsoc:hasValue [ a gsoc:Numeric_Value ; gsoc:hasDataValue " &amp; quote('PM1'!AI25) &amp; " ^^xsd:decimal ;  gsoc:hasUOM [ a gsuom:meter ]] ] ;   ", "  gsoc:hasValue [a gsoc:Quality_Range ;  gsoc:hasStartValue [ a gsoc:Numeric_Value ;  gsoc:hasDataValue " &amp; quote('PM1'!AI25) &amp; "^^xsd:decimal ;  gsoc:hasUOM [ a gsuom:meter ] ] ;   gsoc:hasEndValue [ a gsoc:Numeric_Value ; gsoc:hasDataValue " &amp; quote('PM1'!AJ25) &amp; "^^xsd:decimal ;   gsoc:hasUOM [ a gsuom:meter ]] ; ]  ] ;   ")</f>
        <v xml:space="preserve"> gsoc:hasQuality [  a gsoq:Thickness ;	  gsoc:determinedBy [	a gsoc:Observation ; gsoc:hasDataValue "regional IOW thickness; not proved in PM1"@en ] ;   gsoc:hasValue [ a gsoc:Numeric_Value ; gsoc:hasDataValue "94.8" ^^xsd:decimal ;  gsoc:hasUOM [ a gsuom:meter ]] ] ;   </v>
      </c>
      <c r="G25" s="7" t="str">
        <f>" gsoc:hasSetting [ a  "  &amp; PaleoenvURI &amp;  "  ] ;  "  &amp; makeComment('PM1'!AN25) &amp; "  " &amp; makeComment('PM1'!AO25) &amp;  ".  "</f>
        <v xml:space="preserve"> gsoc:hasSetting [ a  gsen:Outer_Neritic_Setting  ] ;  rdfs:comment "Outer marine shelf"@en ;  rdfs:comment "ISBN:9780751837773, ISBN:9780852727720, DOI:10.1144/GOEWP"@en ;.  </v>
      </c>
      <c r="H25" s="7" t="str">
        <f t="shared" si="2"/>
        <v xml:space="preserve">iwh:BaseThamesGroup  a gsog:Rock_Body_Boundary ;  gsoc:hostedBy iwh:strat-THAM;   gsoc:isParticipantIn [ a gspr:Deposition ]  .  </v>
      </c>
      <c r="I25" s="7" t="str">
        <f t="shared" si="3"/>
        <v xml:space="preserve">iwh:TopThamesGroup a gsog:Rock_Body_Boundary ;   gsoc:hostedBy iwh:strat-THAM ;   gsoc:isParticipantIn [ a gspr:Erosion ]  .  </v>
      </c>
      <c r="J25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VLOOKUP(UPPER(RIGHT('PM1'!Q25, LEN('PM1'!Q25) - FIND("on_", 'PM1'!Q25) - 2)),LookupAbbrev,2, FALSE)  &amp;  """@en ;   " &amp; makeComment('PM1'!W25) &amp; ".  "</f>
        <v xml:space="preserve">iwh:contact_tham_on_lmbe   a gscn:Unconformable_Contact ;     gsoc:hasOlderHost  iwh:strat-LMBE ;   gsoc:hasYoungerHost iwh:BaseThamesGroup  ;  gsoc:hasYoungerHost iwh:strat-THAM  ;  rdfs:label  "Thames Group  overlies Lambeth"@en ;   rdfs:comment "Erosional"@en ;.  </v>
      </c>
      <c r="K25" s="7" t="str">
        <f t="shared" si="4"/>
        <v xml:space="preserve">iwh:strat-THAM  a gsog:Group ;  rdfs:label  "Thames Group"@en ;  gsoq:indirectTemporalOccupies  gstime:Ypresian; rdfs:comment "Gale et al, 1999, DOI: 10.1144/gsjgs.156.2.0327"@en ;  gsoc:isParticipantIn [  a gspr:Deposition; rdfs:label "Deposition during Ypresian"@en ; gsoc:directTemporalOccupies gstime:Ypresian 	] ;   gsoc:isPartOf  ;  gsoc:hasPart iwh:BaseThamesGroup ;  gsog:overlies iwh:strat-LMBE ;  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""@en ;   gsoc:hasQuality [  a gsoq:Thickness ;	  gsoc:determinedBy [	a gsoc:Observation ; gsoc:hasDataValue "regional IOW thickness; not proved in PM1"@en ] ;   gsoc:hasValue [ a gsoc:Numeric_Value ; gsoc:hasDataValue "94.8" ^^xsd:decimal ;  gsoc:hasUOM [ a gsuom:meter ]] ] ;    gsoc:hasSetting [ a  gsen:Outer_Neritic_Setting  ] ;  rdfs:comment "Outer marine shelf"@en ;  rdfs:comment "ISBN:9780751837773, ISBN:9780852727720, DOI:10.1144/GOEWP"@en ;.  iwh:BaseThamesGroup  a gsog:Rock_Body_Boundary ;  gsoc:hostedBy iwh:strat-THAM;   gsoc:isParticipantIn [ a gspr:Deposition ]  .  iwh:TopThamesGroup a gsog:Rock_Body_Boundary ;   gsoc:hostedBy iwh:strat-THAM ;   gsoc:isParticipantIn [ a gspr:Erosion ]  .  iwh:contact_tham_on_lmbe   a gscn:Unconformable_Contact ;     gsoc:hasOlderHost  iwh:strat-LMBE ;   gsoc:hasYoungerHost iwh:BaseThamesGroup  ;  gsoc:hasYoungerHost iwh:strat-THAM  ;  rdfs:label  "Thames Group  overlies Lambeth"@en ;   rdfs:comment "Erosional"@en ;.  </v>
      </c>
    </row>
    <row r="26" spans="1:11" ht="165" x14ac:dyDescent="0.25">
      <c r="A26" s="7" t="str">
        <f t="shared" si="0"/>
        <v xml:space="preserve">iwh:strat-LC  a gsog:Formation ;  rdfs:label  "London Clay Formation, Thames Group"@en ;  </v>
      </c>
      <c r="B26" s="7" t="str">
        <f>"gsoq:indirectTemporalOccupies  gstime:" &amp; AgeMin &amp; "; " &amp;makeComment('PM1'!P26) &amp; "  "</f>
        <v xml:space="preserve">gsoq:indirectTemporalOccupies  gstime:Ypresian; rdfs:comment "Gale et al, 1999, DOI: 10.1144/gsjgs.156.2.0327"@en ;  </v>
      </c>
      <c r="C26" s="7" t="str">
        <f>"gsoc:isParticipantIn [  a gspr:Deposition; rdfs:label " &amp; quote( "Deposition during " &amp;'PM1'!N26) &amp; "@en ; " &amp; "gsoc:directTemporalOccupies gstime:" &amp; AgeMin &amp; " 	] ;   "</f>
        <v xml:space="preserve">gsoc:isParticipantIn [  a gspr:Deposition; rdfs:label "Deposition during Ypresian"@en ; gsoc:directTemporalOccupies gstime:Ypresian 	] ;   </v>
      </c>
      <c r="D26" s="7" t="str">
        <f t="shared" si="1"/>
        <v xml:space="preserve">gsoc:isPartOf iwh:strat-THAM ;  gsoc:hasPart iwh:BaseLondon Clay ;  gsog:overlies iwh:strat-HWH ;  </v>
      </c>
      <c r="E26" s="7" t="str">
        <f>"gsog:hasMaterialConstituent [ a " &amp; DominantLithURI &amp; " ;   gsoc:hasQuality [ a gsoc:Proportion; gsoc:hasValue [a gsoq:Dominant_Constituent ]  ]] ;  " &amp;  IF(ISBLANK( 'PM1'!AC26), "", "gsog:hasMaterialConstituent [ a " &amp; SubordinateLithURI &amp; "  ;    gsoc:hasQuality [ a gsoc:Proportion ; gsoc:hasValue [a gsoq:Subordinate_Constituent ]  ] ] ; ")  &amp; makeComment('PM1'!AH26) &amp;  "  "</f>
        <v xml:space="preserve">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"cyclic sedimentation with flint pebble beds"@en ;  </v>
      </c>
      <c r="F26" s="7" t="str">
        <f>" gsoc:hasQuality [  a gsoq:Thickness ;	  gsoc:determinedBy [	a gsoc:Observation ; gsoc:hasDataValue " &amp; quote('PM1'!AK27 ) &amp; "@en ] ;  " &amp; IF(ISBLANK('PM1'!AJ26), " gsoc:hasValue [ a gsoc:Numeric_Value ; gsoc:hasDataValue " &amp; quote('PM1'!AI26) &amp; " ^^xsd:decimal ;  gsoc:hasUOM [ a gsuom:meter ]] ] ;   ", "  gsoc:hasValue [a gsoc:Quality_Range ;  gsoc:hasStartValue [ a gsoc:Numeric_Value ;  gsoc:hasDataValue " &amp; quote('PM1'!AI26) &amp; "^^xsd:decimal ;  gsoc:hasUOM [ a gsuom:meter ] ] ;   gsoc:hasEndValue [ a gsoc:Numeric_Value ; gsoc:hasDataValue " &amp; quote('PM1'!AJ26) &amp; "^^xsd:decimal ;   gsoc:hasUOM [ a gsuom:meter ]] ; ]  ] ;   ")</f>
        <v xml:space="preserve">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"150"^^xsd:decimal ;   gsoc:hasUOM [ a gsuom:meter ]] ; ]  ] ;   </v>
      </c>
      <c r="G26" s="7" t="str">
        <f>" gsoc:hasSetting [ a  "  &amp; PaleoenvURI &amp;  "  ] ;  "  &amp; makeComment('PM1'!AN26) &amp; "  " &amp; makeComment('PM1'!AO26) &amp;  ".  "</f>
        <v xml:space="preserve"> gsoc:hasSetting [ a  gsen:Inner_Neritic_Setting, gsen:Middle_Neritic_Setting  ] ;  rdfs:comment "Mid to inner marine shelf"@en ;  rdfs:comment "ISBN:9780751837773, ISBN:9780852727720, DOI:10.1144/GOEWP"@en ;.  </v>
      </c>
      <c r="H26" s="7" t="str">
        <f t="shared" si="2"/>
        <v xml:space="preserve">iwh:BaseLondon Clay  a gsog:Rock_Body_Boundary ;  gsoc:hostedBy iwh:strat-LC;   gsoc:isParticipantIn [ a gspr:Deposition ]  .  </v>
      </c>
      <c r="I26" s="7" t="str">
        <f t="shared" si="3"/>
        <v xml:space="preserve">iwh:TopThamesGroup a gsog:Rock_Body_Boundary ;   gsoc:hostedBy iwh:strat-LC ;   gsoc:isParticipantIn [ a gspr:Erosion ]  .  </v>
      </c>
      <c r="J26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VLOOKUP(UPPER(RIGHT('PM1'!Q26, LEN('PM1'!Q26) - FIND("on_", 'PM1'!Q26) - 2)),LookupAbbrev,2, FALSE)  &amp;  """@en ;   " &amp; makeComment('PM1'!W26) &amp; ".  "</f>
        <v xml:space="preserve">iwh:contact_lc_on_hwh   a gscn:Conformable_Contact ;     gsoc:hasOlderHost  iwh:strat-HWH ;   gsoc:hasYoungerHost iwh:BaseLondon Clay  ;  gsoc:hasYoungerHost iwh:strat-LC  ;  rdfs:label  "London Clay Formation, Thames Group  overlies Harwich"@en ;   rdfs:comment "Normal"@en ;.  </v>
      </c>
      <c r="K26" s="7" t="str">
        <f t="shared" si="4"/>
        <v xml:space="preserve">iwh:strat-LC  a gsog:Formation ;  rdfs:label  "London Clay Formation, Thames Group"@en ;  gsoq:indirectTemporalOccupies  gstime:Ypresian; rdfs:comment "Gale et al, 1999, DOI: 10.1144/gsjgs.156.2.0327"@en ;  gsoc:isParticipantIn [  a gspr:Deposition; rdfs:label "Deposition during Ypresian"@en ; gsoc:directTemporalOccupies gstime:Ypresian 	] ;   gsoc:isPartOf iwh:strat-THAM ;  gsoc:hasPart iwh:BaseLondon Clay ;  gsog:overlies iwh:strat-HWH ;  gsog:hasMaterialConstituent [ a gslth:Arenite ;   gsoc:hasQuality [ a gsoc:Proportion; gsoc:hasValue [a gsoq:Dominant_Constituent ]  ]] ;  gsog:hasMaterialConstituent [ a gslth:Generic_Mudstone  ;    gsoc:hasQuality [ a gsoc:Proportion ; gsoc:hasValue [a gsoq:Subordinate_Constituent ]  ] ] ; rdfs:comment "cyclic sedimentation with flint pebble beds"@en ;   gsoc:hasQuality [  a gsoq:Thickness ;	  gsoc:determinedBy [	a gsoc:Observation ; gsoc:hasDataValue "regional IOW thickness; not proved in PM1"@en ] ;    gsoc:hasValue [a gsoc:Quality_Range ;  gsoc:hasStartValue [ a gsoc:Numeric_Value ;  gsoc:hasDataValue "0"^^xsd:decimal ;  gsoc:hasUOM [ a gsuom:meter ] ] ;   gsoc:hasEndValue [ a gsoc:Numeric_Value ; gsoc:hasDataValue "150"^^xsd:decimal ;   gsoc:hasUOM [ a gsuom:meter ]] ; ]  ] ;    gsoc:hasSetting [ a  gsen:Inner_Neritic_Setting, gsen:Middle_Neritic_Setting  ] ;  rdfs:comment "Mid to inner marine shelf"@en ;  rdfs:comment "ISBN:9780751837773, ISBN:9780852727720, DOI:10.1144/GOEWP"@en ;.  iwh:BaseLondon Clay  a gsog:Rock_Body_Boundary ;  gsoc:hostedBy iwh:strat-LC;   gsoc:isParticipantIn [ a gspr:Deposition ]  .  iwh:TopThamesGroup a gsog:Rock_Body_Boundary ;   gsoc:hostedBy iwh:strat-LC ;   gsoc:isParticipantIn [ a gspr:Erosion ]  .  iwh:contact_lc_on_hwh   a gscn:Conformable_Contact ;     gsoc:hasOlderHost  iwh:strat-HWH ;   gsoc:hasYoungerHost iwh:BaseLondon Clay  ;  gsoc:hasYoungerHost iwh:strat-LC  ;  rdfs:label  "London Clay Formation, Thames Group  overlies Harwich"@en ;   rdfs:comment "Normal"@en ;.  </v>
      </c>
    </row>
    <row r="27" spans="1:11" ht="150" x14ac:dyDescent="0.25">
      <c r="A27" s="7" t="str">
        <f t="shared" si="0"/>
        <v xml:space="preserve">iwh:strat-POWH  a gsog:Member ;  rdfs:label  "Portsmouth Sand and Whitecliff Sand Member of London Clay Formation, Thames Group"@en ;  </v>
      </c>
      <c r="B27" s="7" t="str">
        <f>"gsoq:indirectTemporalOccupies  gstime:" &amp; AgeMin &amp; "; " &amp;makeComment('PM1'!P27) &amp; "  "</f>
        <v xml:space="preserve">gsoq:indirectTemporalOccupies  gstime:Ypresian; rdfs:comment "Gale et al, 1999, DOI: 10.1144/gsjgs.156.2.0327"@en ;  </v>
      </c>
      <c r="C27" s="7" t="str">
        <f>"gsoc:isParticipantIn [  a gspr:Deposition; rdfs:label " &amp; quote( "Deposition during " &amp;'PM1'!N27) &amp; "@en ; " &amp; "gsoc:directTemporalOccupies gstime:" &amp; AgeMin &amp; " 	] ;   "</f>
        <v xml:space="preserve">gsoc:isParticipantIn [  a gspr:Deposition; rdfs:label "Deposition during Ypresian"@en ; gsoc:directTemporalOccupies gstime:Ypresian 	] ;   </v>
      </c>
      <c r="D27" s="7" t="str">
        <f t="shared" si="1"/>
        <v xml:space="preserve">gsoc:isPartOf iwh:strat-LC ;  gsoc:hasPart iwh:BasePortsmouthMember ;  gsog:overlies iwh:strat-LC ;  </v>
      </c>
      <c r="E27" s="7" t="str">
        <f>"gsog:hasMaterialConstituent [ a " &amp; DominantLithURI &amp; " ;   gsoc:hasQuality [ a gsoc:Proportion; gsoc:hasValue [a gsoq:Dominant_Constituent ]  ]] ;  " &amp;  IF(ISBLANK( 'PM1'!AC27), "", "gsog:hasMaterialConstituent [ a " &amp; SubordinateLithURI &amp; "  ;    gsoc:hasQuality [ a gsoc:Proportion ; gsoc:hasValue [a gsoq:Subordinate_Constituent ]  ] ] ; ")  &amp; makeComment('PM1'!AH27) &amp;  "  "</f>
        <v xml:space="preserve">gsog:hasMaterialConstituent [ a gslth:Arenite ;   gsoc:hasQuality [ a gsoc:Proportion; gsoc:hasValue [a gsoq:Dominant_Constituent ]  ]] ;  rdfs:comment "cross-bedded; pebbly horizons"@en ;  </v>
      </c>
      <c r="F27" s="7" t="str">
        <f>" gsoc:hasQuality [  a gsoq:Thickness ;	  gsoc:determinedBy [	a gsoc:Observation ; gsoc:hasDataValue " &amp; quote('PM1'!AK28 ) &amp; "@en ] ;  " &amp; IF(ISBLANK('PM1'!AJ27), " gsoc:hasValue [ a gsoc:Numeric_Value ; gsoc:hasDataValue " &amp; quote('PM1'!AI27) &amp; " ^^xsd:decimal ;  gsoc:hasUOM [ a gsuom:meter ]] ] ;   ", "  gsoc:hasValue [a gsoc:Quality_Range ;  gsoc:hasStartValue [ a gsoc:Numeric_Value ;  gsoc:hasDataValue " &amp; quote('PM1'!AI27) &amp; "^^xsd:decimal ;  gsoc:hasUOM [ a gsuom:meter ] ] ;   gsoc:hasEndValue [ a gsoc:Numeric_Value ; gsoc:hasDataValue " &amp; quote('PM1'!AJ27) &amp; "^^xsd:decimal ;   gsoc:hasUOM [ a gsuom:meter ]] ; ]  ] ;   ")</f>
        <v xml:space="preserve"> gsoc:hasQuality [  a gsoq:Thickness ;	  gsoc:determinedBy [	a gsoc:Observation ; gsoc:hasDataValue "locally proved in IOW; not proved in PM1"@en ] ;   gsoc:hasValue [ a gsoc:Numeric_Value ; gsoc:hasDataValue "25" ^^xsd:decimal ;  gsoc:hasUOM [ a gsuom:meter ]] ] ;   </v>
      </c>
      <c r="G27" s="7" t="str">
        <f>" gsoc:hasSetting [ a  "  &amp; PaleoenvURI &amp;  "  ] ;  "  &amp; makeComment('PM1'!AN27) &amp; "  " &amp; makeComment('PM1'!AO27) &amp;  ".  "</f>
        <v xml:space="preserve"> gsoc:hasSetting [ a  gsen:Outer_Neritic_Setting  ] ;  rdfs:comment "Channel-fill sand in outer marine shelf"@en ;  rdfs:comment "ISBN:9780751837773, ISBN:9780852727720, DOI:10.1144/GOEWP"@en ;.  </v>
      </c>
      <c r="H27" s="7" t="str">
        <f t="shared" si="2"/>
        <v xml:space="preserve">iwh:BasePortsmouthMember  a gsog:Rock_Body_Boundary ;  gsoc:hostedBy iwh:strat-POWH;   gsoc:isParticipantIn [ a gspr:Deposition ]  .  </v>
      </c>
      <c r="I27" s="7" t="str">
        <f t="shared" si="3"/>
        <v xml:space="preserve">iwh:TopPortsmouthMember a gsog:Rock_Body_Boundary ;   gsoc:hostedBy iwh:strat-POWH ;   gsoc:isParticipantIn [ a gspr:Deposition ]  .  </v>
      </c>
      <c r="J27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VLOOKUP(UPPER(RIGHT('PM1'!Q27, LEN('PM1'!Q27) - FIND("on_", 'PM1'!Q27) - 2)),LookupAbbrev,2, FALSE)  &amp;  """@en ;   " &amp; makeComment('PM1'!W27) &amp; ".  "</f>
        <v xml:space="preserve">iwh:contact_powh_on_lc   a gscn:Unconformable_Contact ;     gsoc:hasOlderHost  iwh:strat-LC ;   gsoc:hasYoungerHost iwh:BasePortsmouthMember  ;  gsoc:hasYoungerHost iwh:strat-POWH  ;  rdfs:label  "Portsmouth Sand and Whitecliff Sand Member of London Clay Formation, Thames Group  overlies London Clay"@en ;   rdfs:comment "Erosional"@en ;.  </v>
      </c>
      <c r="K27" s="7" t="str">
        <f t="shared" si="4"/>
        <v xml:space="preserve">iwh:strat-POWH  a gsog:Member ;  rdfs:label  "Portsmouth Sand and Whitecliff Sand Member of London Clay Formation, Thames Group"@en ;  gsoq:indirectTemporalOccupies  gstime:Ypresian; rdfs:comment "Gale et al, 1999, DOI: 10.1144/gsjgs.156.2.0327"@en ;  gsoc:isParticipantIn [  a gspr:Deposition; rdfs:label "Deposition during Ypresian"@en ; gsoc:directTemporalOccupies gstime:Ypresian 	] ;   gsoc:isPartOf iwh:strat-LC ;  gsoc:hasPart iwh:BasePortsmouthMember ;  gsog:overlies iwh:strat-LC ;  gsog:hasMaterialConstituent [ a gslth:Arenite ;   gsoc:hasQuality [ a gsoc:Proportion; gsoc:hasValue [a gsoq:Dominant_Constituent ]  ]] ;  rdfs:comment "cross-bedded; pebbly horizons"@en ;   gsoc:hasQuality [  a gsoq:Thickness ;	  gsoc:determinedBy [	a gsoc:Observation ; gsoc:hasDataValue "locally proved in IOW; not proved in PM1"@en ] ;   gsoc:hasValue [ a gsoc:Numeric_Value ; gsoc:hasDataValue "25" ^^xsd:decimal ;  gsoc:hasUOM [ a gsuom:meter ]] ] ;    gsoc:hasSetting [ a  gsen:Outer_Neritic_Setting  ] ;  rdfs:comment "Channel-fill sand in outer marine shelf"@en ;  rdfs:comment "ISBN:9780751837773, ISBN:9780852727720, DOI:10.1144/GOEWP"@en ;.  iwh:BasePortsmouthMember  a gsog:Rock_Body_Boundary ;  gsoc:hostedBy iwh:strat-POWH;   gsoc:isParticipantIn [ a gspr:Deposition ]  .  iwh:TopPortsmouthMember a gsog:Rock_Body_Boundary ;   gsoc:hostedBy iwh:strat-POWH ;   gsoc:isParticipantIn [ a gspr:Deposition ]  .  iwh:contact_powh_on_lc   a gscn:Unconformable_Contact ;     gsoc:hasOlderHost  iwh:strat-LC ;   gsoc:hasYoungerHost iwh:BasePortsmouthMember  ;  gsoc:hasYoungerHost iwh:strat-POWH  ;  rdfs:label  "Portsmouth Sand and Whitecliff Sand Member of London Clay Formation, Thames Group  overlies London Clay"@en ;   rdfs:comment "Erosional"@en ;.  </v>
      </c>
    </row>
    <row r="28" spans="1:11" ht="150" x14ac:dyDescent="0.25">
      <c r="A28" s="7" t="str">
        <f t="shared" si="0"/>
        <v xml:space="preserve">iwh:strat-HWH  a gsog:Formation ;  rdfs:label  "Harwich Formation, Thames Group"@en ;  </v>
      </c>
      <c r="B28" s="7" t="str">
        <f>"gsoq:indirectTemporalOccupies  gstime:" &amp; AgeMin &amp; "; " &amp;makeComment('PM1'!P28) &amp; "  "</f>
        <v xml:space="preserve">gsoq:indirectTemporalOccupies  gstime:Ypresian; rdfs:comment "Gale et al, 1999, DOI: 10.1144/gsjgs.156.2.0327"@en ;  </v>
      </c>
      <c r="C28" s="7" t="str">
        <f>"gsoc:isParticipantIn [  a gspr:Deposition; rdfs:label " &amp; quote( "Deposition during " &amp;'PM1'!N28) &amp; "@en ; " &amp; "gsoc:directTemporalOccupies gstime:" &amp; AgeMin &amp; " 	] ;   "</f>
        <v xml:space="preserve">gsoc:isParticipantIn [  a gspr:Deposition; rdfs:label "Deposition during Ypresian"@en ; gsoc:directTemporalOccupies gstime:Ypresian 	] ;   </v>
      </c>
      <c r="D28" s="7" t="str">
        <f t="shared" si="1"/>
        <v xml:space="preserve">gsoc:isPartOf iwh:strat-THAM ;  gsoc:hasPart iwh:BaseThamesGroup ;  gsog:overlies iwh:strat-RB ;  </v>
      </c>
      <c r="E28" s="7" t="str">
        <f>"gsog:hasMaterialConstituent [ a " &amp; DominantLithURI &amp; " ;   gsoc:hasQuality [ a gsoc:Proportion; gsoc:hasValue [a gsoq:Dominant_Constituent ]  ]] ;  " &amp;  IF(ISBLANK( 'PM1'!AC28), "", "gsog:hasMaterialConstituent [ a " &amp; SubordinateLithURI &amp; "  ;    gsoc:hasQuality [ a gsoc:Proportion ; gsoc:hasValue [a gsoq:Subordinate_Constituent ]  ] ] ; ")  &amp; makeComment('PM1'!AH28) &amp;  "  "</f>
        <v xml:space="preserve">gsog:hasMaterialConstituent [ a gslth:Arenite ;   gsoc:hasQuality [ a gsoc:Proportion; gsoc:hasValue [a gsoq:Dominant_Constituent ]  ]] ;  gsog:hasMaterialConstituent [ a gslth:Siltstone  ;    gsoc:hasQuality [ a gsoc:Proportion ; gsoc:hasValue [a gsoq:Subordinate_Constituent ]  ] ] ; rdfs:comment "basal pebble bed includes flint; glauconitic"@en ;  </v>
      </c>
      <c r="F28" s="7" t="str">
        <f>" gsoc:hasQuality [  a gsoq:Thickness ;	  gsoc:determinedBy [	a gsoc:Observation ; gsoc:hasDataValue " &amp; quote('PM1'!AK29 ) &amp; "@en ] ;  " &amp; IF(ISBLANK('PM1'!AJ28), " gsoc:hasValue [ a gsoc:Numeric_Value ; gsoc:hasDataValue " &amp; quote('PM1'!AI28) &amp; " ^^xsd:decimal ;  gsoc:hasUOM [ a gsuom:meter ]] ] ;   ", "  gsoc:hasValue [a gsoc:Quality_Range ;  gsoc:hasStartValue [ a gsoc:Numeric_Value ;  gsoc:hasDataValue " &amp; quote('PM1'!AI28) &amp; "^^xsd:decimal ;  gsoc:hasUOM [ a gsuom:meter ] ] ;   gsoc:hasEndValue [ a gsoc:Numeric_Value ; gsoc:hasDataValue " &amp; quote('PM1'!AJ28) &amp; "^^xsd:decimal ;   gsoc:hasUOM [ a gsuom:meter ]] ; ]  ] ;   ")</f>
        <v xml:space="preserve"> gsoc:hasQuality [  a gsoq:Thickness ;	  gsoc:determinedBy [	a gsoc:Observation ; gsoc:hasDataValue ""@en ] ;   gsoc:hasValue [ a gsoc:Numeric_Value ; gsoc:hasDataValue "2.3" ^^xsd:decimal ;  gsoc:hasUOM [ a gsuom:meter ]] ] ;   </v>
      </c>
      <c r="G28" s="7" t="str">
        <f>" gsoc:hasSetting [ a  "  &amp; PaleoenvURI &amp;  "  ] ;  "  &amp; makeComment('PM1'!AN28) &amp; "  " &amp; makeComment('PM1'!AO28) &amp;  ".  "</f>
        <v xml:space="preserve"> gsoc:hasSetting [ a  gsen:Inner_Neritic_Setting, gsen:Middle_Neritic_Setting  ] ;  rdfs:comment "Mid to inner marine shelf"@en ;  rdfs:comment "ISBN:9780751837773, ISBN:9780852727720, DOI:10.1144/GOEWP"@en ;.  </v>
      </c>
      <c r="H28" s="7" t="str">
        <f t="shared" si="2"/>
        <v xml:space="preserve">iwh:BaseThamesGroup  a gsog:Rock_Body_Boundary ;  gsoc:hostedBy iwh:strat-HWH;   gsoc:isParticipantIn [ a gspr:Deposition ]  .  </v>
      </c>
      <c r="I28" s="7" t="str">
        <f t="shared" si="3"/>
        <v xml:space="preserve">iwh:TopHarwich a gsog:Rock_Body_Boundary ;   gsoc:hostedBy iwh:strat-HWH ;   gsoc:isParticipantIn [ a gspr:Erosion ]  .  </v>
      </c>
      <c r="J28" s="7" t="str">
        <f>BasalContactID &amp; "   a " &amp;BasalContactSubClassURI &amp; " ;     gsoc:hasOlderHost  " &amp; underlyingUnitURI &amp; " ;   gsoc:hasYoungerHost " &amp; BasalBoundaryID &amp; "  ;  gsoc:hasYoungerHost " &amp; UnitURI &amp; "  ;  rdfs:label  """ &amp; label  &amp; "  overlies " &amp; VLOOKUP(UPPER(RIGHT('PM1'!Q28, LEN('PM1'!Q28) - FIND("on_", 'PM1'!Q28) - 2)),LookupAbbrev,2, FALSE)  &amp;  """@en ;   " &amp; makeComment('PM1'!W28) &amp; ".  "</f>
        <v xml:space="preserve">iwh:contact_hwh_on_lmbe   a gscn:Unconformable_Contact ;     gsoc:hasOlderHost  iwh:strat-RB ;   gsoc:hasYoungerHost iwh:BaseThamesGroup  ;  gsoc:hasYoungerHost iwh:strat-HWH  ;  rdfs:label  "Harwich Formation, Thames Group  overlies Lambeth"@en ;   rdfs:comment "Erosional"@en ;.  </v>
      </c>
      <c r="K28" s="7" t="str">
        <f t="shared" si="4"/>
        <v xml:space="preserve">iwh:strat-HWH  a gsog:Formation ;  rdfs:label  "Harwich Formation, Thames Group"@en ;  gsoq:indirectTemporalOccupies  gstime:Ypresian; rdfs:comment "Gale et al, 1999, DOI: 10.1144/gsjgs.156.2.0327"@en ;  gsoc:isParticipantIn [  a gspr:Deposition; rdfs:label "Deposition during Ypresian"@en ; gsoc:directTemporalOccupies gstime:Ypresian 	] ;   gsoc:isPartOf iwh:strat-THAM ;  gsoc:hasPart iwh:BaseThamesGroup ;  gsog:overlies iwh:strat-RB ;  gsog:hasMaterialConstituent [ a gslth:Arenite ;   gsoc:hasQuality [ a gsoc:Proportion; gsoc:hasValue [a gsoq:Dominant_Constituent ]  ]] ;  gsog:hasMaterialConstituent [ a gslth:Siltstone  ;    gsoc:hasQuality [ a gsoc:Proportion ; gsoc:hasValue [a gsoq:Subordinate_Constituent ]  ] ] ; rdfs:comment "basal pebble bed includes flint; glauconitic"@en ;   gsoc:hasQuality [  a gsoq:Thickness ;	  gsoc:determinedBy [	a gsoc:Observation ; gsoc:hasDataValue ""@en ] ;   gsoc:hasValue [ a gsoc:Numeric_Value ; gsoc:hasDataValue "2.3" ^^xsd:decimal ;  gsoc:hasUOM [ a gsuom:meter ]] ] ;    gsoc:hasSetting [ a  gsen:Inner_Neritic_Setting, gsen:Middle_Neritic_Setting  ] ;  rdfs:comment "Mid to inner marine shelf"@en ;  rdfs:comment "ISBN:9780751837773, ISBN:9780852727720, DOI:10.1144/GOEWP"@en ;.  iwh:BaseThamesGroup  a gsog:Rock_Body_Boundary ;  gsoc:hostedBy iwh:strat-HWH;   gsoc:isParticipantIn [ a gspr:Deposition ]  .  iwh:TopHarwich a gsog:Rock_Body_Boundary ;   gsoc:hostedBy iwh:strat-HWH ;   gsoc:isParticipantIn [ a gspr:Erosion ]  .  iwh:contact_hwh_on_lmbe   a gscn:Unconformable_Contact ;     gsoc:hasOlderHost  iwh:strat-RB ;   gsoc:hasYoungerHost iwh:BaseThamesGroup  ;  gsoc:hasYoungerHost iwh:strat-HWH  ;  rdfs:label  "Harwich Formation, Thames Group  overlies Lambeth"@en ;   rdfs:comment "Erosional"@en ;.  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630AC-6D59-475E-95CA-10D1EE6EA185}">
  <sheetPr codeName="Sheet8"/>
  <dimension ref="A1:B1124"/>
  <sheetViews>
    <sheetView workbookViewId="0">
      <selection activeCell="C17" sqref="C17"/>
    </sheetView>
  </sheetViews>
  <sheetFormatPr defaultRowHeight="15" x14ac:dyDescent="0.25"/>
  <cols>
    <col min="1" max="1" width="76.85546875" style="7" customWidth="1"/>
    <col min="2" max="2" width="19.85546875" bestFit="1" customWidth="1"/>
  </cols>
  <sheetData>
    <row r="1" spans="1:2" x14ac:dyDescent="0.25">
      <c r="A1" s="6" t="s">
        <v>424</v>
      </c>
      <c r="B1" t="s">
        <v>1022</v>
      </c>
    </row>
    <row r="2" spans="1:2" ht="45" x14ac:dyDescent="0.25">
      <c r="A2" s="7" t="s">
        <v>1024</v>
      </c>
      <c r="B2" s="10" t="s">
        <v>1027</v>
      </c>
    </row>
    <row r="3" spans="1:2" ht="45" x14ac:dyDescent="0.25">
      <c r="A3" s="7" t="s">
        <v>1025</v>
      </c>
      <c r="B3" s="10" t="s">
        <v>1026</v>
      </c>
    </row>
    <row r="4" spans="1:2" ht="30" x14ac:dyDescent="0.25">
      <c r="A4" s="7" t="s">
        <v>1023</v>
      </c>
      <c r="B4" s="11" t="s">
        <v>1028</v>
      </c>
    </row>
    <row r="5" spans="1:2" x14ac:dyDescent="0.25">
      <c r="A5"/>
    </row>
    <row r="6" spans="1:2" x14ac:dyDescent="0.25">
      <c r="A6"/>
    </row>
    <row r="7" spans="1:2" x14ac:dyDescent="0.25">
      <c r="A7"/>
    </row>
    <row r="8" spans="1:2" x14ac:dyDescent="0.25">
      <c r="A8"/>
    </row>
    <row r="9" spans="1:2" x14ac:dyDescent="0.25">
      <c r="A9"/>
    </row>
    <row r="10" spans="1:2" x14ac:dyDescent="0.25">
      <c r="A10"/>
    </row>
    <row r="11" spans="1:2" x14ac:dyDescent="0.25">
      <c r="A11"/>
    </row>
    <row r="12" spans="1:2" x14ac:dyDescent="0.25">
      <c r="A12"/>
    </row>
    <row r="13" spans="1:2" x14ac:dyDescent="0.25">
      <c r="A13"/>
    </row>
    <row r="14" spans="1:2" x14ac:dyDescent="0.25">
      <c r="A14"/>
    </row>
    <row r="15" spans="1:2" x14ac:dyDescent="0.25">
      <c r="A15"/>
    </row>
    <row r="16" spans="1:2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F873-F8E2-4F2F-B787-3FF1F58144CE}">
  <sheetPr codeName="Sheet9"/>
  <dimension ref="A1:M125"/>
  <sheetViews>
    <sheetView workbookViewId="0">
      <selection activeCell="L25" sqref="L25"/>
    </sheetView>
  </sheetViews>
  <sheetFormatPr defaultRowHeight="15" x14ac:dyDescent="0.25"/>
  <cols>
    <col min="1" max="1" width="24" bestFit="1" customWidth="1"/>
    <col min="2" max="2" width="12.140625" bestFit="1" customWidth="1"/>
    <col min="3" max="3" width="18.42578125" bestFit="1" customWidth="1"/>
    <col min="4" max="4" width="16.140625" bestFit="1" customWidth="1"/>
    <col min="5" max="5" width="30.85546875" bestFit="1" customWidth="1"/>
    <col min="6" max="6" width="15.28515625" bestFit="1" customWidth="1"/>
    <col min="7" max="7" width="30.85546875" bestFit="1" customWidth="1"/>
    <col min="8" max="8" width="20" bestFit="1" customWidth="1"/>
    <col min="9" max="9" width="29" bestFit="1" customWidth="1"/>
    <col min="10" max="10" width="33" bestFit="1" customWidth="1"/>
    <col min="11" max="11" width="29.5703125" bestFit="1" customWidth="1"/>
    <col min="12" max="12" width="36.140625" bestFit="1" customWidth="1"/>
    <col min="14" max="14" width="18.7109375" bestFit="1" customWidth="1"/>
  </cols>
  <sheetData>
    <row r="1" spans="1:13" ht="18" thickBot="1" x14ac:dyDescent="0.35">
      <c r="A1" s="5" t="s">
        <v>2</v>
      </c>
      <c r="B1" s="5" t="s">
        <v>3</v>
      </c>
      <c r="C1" s="5" t="s">
        <v>1</v>
      </c>
      <c r="D1" s="5" t="s">
        <v>4</v>
      </c>
      <c r="E1" s="5" t="s">
        <v>18</v>
      </c>
      <c r="F1" s="5" t="s">
        <v>19</v>
      </c>
      <c r="G1" s="5" t="s">
        <v>0</v>
      </c>
      <c r="H1" s="5" t="s">
        <v>5</v>
      </c>
      <c r="I1" s="5" t="s">
        <v>382</v>
      </c>
      <c r="J1" s="5" t="s">
        <v>384</v>
      </c>
      <c r="K1" s="5" t="s">
        <v>385</v>
      </c>
      <c r="L1" s="5" t="s">
        <v>386</v>
      </c>
      <c r="M1" s="5"/>
    </row>
    <row r="2" spans="1:13" ht="15.75" thickTop="1" x14ac:dyDescent="0.25">
      <c r="A2" t="s">
        <v>210</v>
      </c>
      <c r="B2" t="s">
        <v>48</v>
      </c>
      <c r="C2" t="s">
        <v>216</v>
      </c>
      <c r="D2" t="s">
        <v>6</v>
      </c>
      <c r="E2" t="s">
        <v>223</v>
      </c>
      <c r="F2" t="s">
        <v>54</v>
      </c>
      <c r="G2" t="s">
        <v>258</v>
      </c>
      <c r="H2" t="s">
        <v>96</v>
      </c>
      <c r="I2" t="s">
        <v>437</v>
      </c>
      <c r="J2" t="s">
        <v>409</v>
      </c>
      <c r="K2" t="s">
        <v>437</v>
      </c>
      <c r="L2" t="s">
        <v>409</v>
      </c>
    </row>
    <row r="3" spans="1:13" x14ac:dyDescent="0.25">
      <c r="A3" t="s">
        <v>211</v>
      </c>
      <c r="B3" t="s">
        <v>49</v>
      </c>
      <c r="C3" t="s">
        <v>217</v>
      </c>
      <c r="D3" t="s">
        <v>7</v>
      </c>
      <c r="E3" t="s">
        <v>224</v>
      </c>
      <c r="F3" t="s">
        <v>62</v>
      </c>
      <c r="G3" t="s">
        <v>259</v>
      </c>
      <c r="H3" t="s">
        <v>97</v>
      </c>
      <c r="I3" t="s">
        <v>438</v>
      </c>
      <c r="J3" t="s">
        <v>413</v>
      </c>
      <c r="K3" t="s">
        <v>438</v>
      </c>
      <c r="L3" t="s">
        <v>413</v>
      </c>
    </row>
    <row r="4" spans="1:13" x14ac:dyDescent="0.25">
      <c r="A4" t="s">
        <v>212</v>
      </c>
      <c r="B4" t="s">
        <v>50</v>
      </c>
      <c r="C4" t="s">
        <v>218</v>
      </c>
      <c r="D4" t="s">
        <v>16</v>
      </c>
      <c r="E4" t="s">
        <v>225</v>
      </c>
      <c r="F4" t="s">
        <v>55</v>
      </c>
      <c r="G4" t="s">
        <v>260</v>
      </c>
      <c r="H4" t="s">
        <v>98</v>
      </c>
      <c r="I4" t="s">
        <v>439</v>
      </c>
      <c r="J4" t="s">
        <v>410</v>
      </c>
      <c r="K4" t="s">
        <v>439</v>
      </c>
      <c r="L4" t="s">
        <v>410</v>
      </c>
    </row>
    <row r="5" spans="1:13" x14ac:dyDescent="0.25">
      <c r="A5" t="s">
        <v>213</v>
      </c>
      <c r="B5" t="s">
        <v>51</v>
      </c>
      <c r="C5" t="s">
        <v>219</v>
      </c>
      <c r="D5" t="s">
        <v>17</v>
      </c>
      <c r="E5" t="s">
        <v>226</v>
      </c>
      <c r="F5" t="s">
        <v>63</v>
      </c>
      <c r="G5" t="s">
        <v>261</v>
      </c>
      <c r="H5" t="s">
        <v>99</v>
      </c>
      <c r="I5" t="s">
        <v>440</v>
      </c>
      <c r="J5" t="s">
        <v>411</v>
      </c>
      <c r="K5" t="s">
        <v>440</v>
      </c>
      <c r="L5" t="s">
        <v>411</v>
      </c>
    </row>
    <row r="6" spans="1:13" x14ac:dyDescent="0.25">
      <c r="A6" t="s">
        <v>214</v>
      </c>
      <c r="B6" t="s">
        <v>52</v>
      </c>
      <c r="C6" t="s">
        <v>220</v>
      </c>
      <c r="D6" t="s">
        <v>10</v>
      </c>
      <c r="E6" t="s">
        <v>227</v>
      </c>
      <c r="F6" t="s">
        <v>64</v>
      </c>
      <c r="G6" t="s">
        <v>262</v>
      </c>
      <c r="H6" t="s">
        <v>32</v>
      </c>
      <c r="I6" t="s">
        <v>441</v>
      </c>
      <c r="J6" t="s">
        <v>412</v>
      </c>
      <c r="K6" t="s">
        <v>441</v>
      </c>
      <c r="L6" t="s">
        <v>412</v>
      </c>
    </row>
    <row r="7" spans="1:13" x14ac:dyDescent="0.25">
      <c r="A7" t="s">
        <v>215</v>
      </c>
      <c r="B7" t="s">
        <v>53</v>
      </c>
      <c r="C7" t="s">
        <v>221</v>
      </c>
      <c r="D7" t="s">
        <v>11</v>
      </c>
      <c r="E7" t="s">
        <v>228</v>
      </c>
      <c r="F7" t="s">
        <v>65</v>
      </c>
      <c r="G7" t="s">
        <v>263</v>
      </c>
      <c r="H7" t="s">
        <v>100</v>
      </c>
      <c r="I7" t="s">
        <v>442</v>
      </c>
      <c r="J7" t="s">
        <v>408</v>
      </c>
      <c r="K7" t="s">
        <v>442</v>
      </c>
      <c r="L7" t="s">
        <v>408</v>
      </c>
    </row>
    <row r="8" spans="1:13" x14ac:dyDescent="0.25">
      <c r="C8" t="s">
        <v>222</v>
      </c>
      <c r="D8" t="s">
        <v>8</v>
      </c>
      <c r="E8" t="s">
        <v>229</v>
      </c>
      <c r="F8" t="s">
        <v>56</v>
      </c>
      <c r="G8" t="s">
        <v>264</v>
      </c>
      <c r="H8" t="s">
        <v>101</v>
      </c>
      <c r="I8" t="s">
        <v>443</v>
      </c>
      <c r="J8" t="s">
        <v>405</v>
      </c>
      <c r="K8" t="s">
        <v>443</v>
      </c>
      <c r="L8" t="s">
        <v>405</v>
      </c>
    </row>
    <row r="9" spans="1:13" x14ac:dyDescent="0.25">
      <c r="C9" t="s">
        <v>20</v>
      </c>
      <c r="D9" t="s">
        <v>9</v>
      </c>
      <c r="E9" t="s">
        <v>230</v>
      </c>
      <c r="F9" t="s">
        <v>67</v>
      </c>
      <c r="G9" t="s">
        <v>265</v>
      </c>
      <c r="H9" t="s">
        <v>27</v>
      </c>
      <c r="I9" t="s">
        <v>444</v>
      </c>
      <c r="J9" t="s">
        <v>406</v>
      </c>
      <c r="K9" t="s">
        <v>444</v>
      </c>
      <c r="L9" t="s">
        <v>406</v>
      </c>
    </row>
    <row r="10" spans="1:13" x14ac:dyDescent="0.25">
      <c r="C10" t="s">
        <v>21</v>
      </c>
      <c r="D10" t="s">
        <v>12</v>
      </c>
      <c r="E10" t="s">
        <v>231</v>
      </c>
      <c r="F10" t="s">
        <v>66</v>
      </c>
      <c r="G10" t="s">
        <v>266</v>
      </c>
      <c r="H10" t="s">
        <v>102</v>
      </c>
      <c r="I10" t="s">
        <v>445</v>
      </c>
      <c r="J10" t="s">
        <v>407</v>
      </c>
      <c r="K10" t="s">
        <v>445</v>
      </c>
      <c r="L10" t="s">
        <v>407</v>
      </c>
    </row>
    <row r="11" spans="1:13" x14ac:dyDescent="0.25">
      <c r="C11" t="s">
        <v>22</v>
      </c>
      <c r="D11" t="s">
        <v>13</v>
      </c>
      <c r="E11" t="s">
        <v>232</v>
      </c>
      <c r="F11" t="s">
        <v>68</v>
      </c>
      <c r="G11" t="s">
        <v>267</v>
      </c>
      <c r="H11" t="s">
        <v>103</v>
      </c>
      <c r="I11" t="s">
        <v>446</v>
      </c>
      <c r="J11" t="s">
        <v>399</v>
      </c>
      <c r="K11" t="s">
        <v>446</v>
      </c>
      <c r="L11" t="s">
        <v>399</v>
      </c>
    </row>
    <row r="12" spans="1:13" x14ac:dyDescent="0.25">
      <c r="C12" t="s">
        <v>23</v>
      </c>
      <c r="D12" t="s">
        <v>14</v>
      </c>
      <c r="E12" t="s">
        <v>233</v>
      </c>
      <c r="F12" t="s">
        <v>70</v>
      </c>
      <c r="G12" t="s">
        <v>268</v>
      </c>
      <c r="H12" t="s">
        <v>104</v>
      </c>
      <c r="I12" t="s">
        <v>447</v>
      </c>
      <c r="J12" t="s">
        <v>404</v>
      </c>
      <c r="K12" t="s">
        <v>447</v>
      </c>
      <c r="L12" t="s">
        <v>404</v>
      </c>
    </row>
    <row r="13" spans="1:13" x14ac:dyDescent="0.25">
      <c r="C13" t="s">
        <v>24</v>
      </c>
      <c r="D13" t="s">
        <v>15</v>
      </c>
      <c r="E13" t="s">
        <v>234</v>
      </c>
      <c r="F13" t="s">
        <v>71</v>
      </c>
      <c r="G13" t="s">
        <v>269</v>
      </c>
      <c r="H13" t="s">
        <v>105</v>
      </c>
      <c r="I13" t="s">
        <v>448</v>
      </c>
      <c r="J13" t="s">
        <v>403</v>
      </c>
      <c r="K13" t="s">
        <v>448</v>
      </c>
      <c r="L13" t="s">
        <v>403</v>
      </c>
    </row>
    <row r="14" spans="1:13" x14ac:dyDescent="0.25">
      <c r="C14" t="s">
        <v>29</v>
      </c>
      <c r="D14" t="s">
        <v>25</v>
      </c>
      <c r="E14" t="s">
        <v>235</v>
      </c>
      <c r="F14" t="s">
        <v>73</v>
      </c>
      <c r="G14" t="s">
        <v>270</v>
      </c>
      <c r="H14" t="s">
        <v>106</v>
      </c>
      <c r="I14" t="s">
        <v>449</v>
      </c>
      <c r="J14" t="s">
        <v>402</v>
      </c>
      <c r="K14" t="s">
        <v>449</v>
      </c>
      <c r="L14" t="s">
        <v>402</v>
      </c>
    </row>
    <row r="15" spans="1:13" x14ac:dyDescent="0.25">
      <c r="C15" t="s">
        <v>39</v>
      </c>
      <c r="D15" t="s">
        <v>28</v>
      </c>
      <c r="E15" t="s">
        <v>236</v>
      </c>
      <c r="F15" t="s">
        <v>74</v>
      </c>
      <c r="G15" t="s">
        <v>271</v>
      </c>
      <c r="H15" t="s">
        <v>107</v>
      </c>
      <c r="I15" t="s">
        <v>450</v>
      </c>
      <c r="J15" t="s">
        <v>400</v>
      </c>
      <c r="K15" t="s">
        <v>450</v>
      </c>
      <c r="L15" t="s">
        <v>400</v>
      </c>
    </row>
    <row r="16" spans="1:13" x14ac:dyDescent="0.25">
      <c r="C16" t="s">
        <v>40</v>
      </c>
      <c r="D16" t="s">
        <v>30</v>
      </c>
      <c r="E16" t="s">
        <v>237</v>
      </c>
      <c r="F16" t="s">
        <v>59</v>
      </c>
      <c r="G16" t="s">
        <v>272</v>
      </c>
      <c r="H16" t="s">
        <v>108</v>
      </c>
      <c r="I16" t="s">
        <v>451</v>
      </c>
      <c r="J16" t="s">
        <v>401</v>
      </c>
      <c r="K16" t="s">
        <v>451</v>
      </c>
      <c r="L16" t="s">
        <v>401</v>
      </c>
    </row>
    <row r="17" spans="3:12" x14ac:dyDescent="0.25">
      <c r="C17" t="s">
        <v>41</v>
      </c>
      <c r="D17" t="s">
        <v>33</v>
      </c>
      <c r="E17" t="s">
        <v>238</v>
      </c>
      <c r="F17" t="s">
        <v>75</v>
      </c>
      <c r="G17" t="s">
        <v>273</v>
      </c>
      <c r="H17" t="s">
        <v>109</v>
      </c>
      <c r="I17" t="s">
        <v>452</v>
      </c>
      <c r="J17" t="s">
        <v>388</v>
      </c>
      <c r="K17" t="s">
        <v>452</v>
      </c>
      <c r="L17" t="s">
        <v>388</v>
      </c>
    </row>
    <row r="18" spans="3:12" x14ac:dyDescent="0.25">
      <c r="C18" t="s">
        <v>42</v>
      </c>
      <c r="D18" t="s">
        <v>34</v>
      </c>
      <c r="E18" t="s">
        <v>239</v>
      </c>
      <c r="F18" t="s">
        <v>76</v>
      </c>
      <c r="G18" t="s">
        <v>274</v>
      </c>
      <c r="H18" t="s">
        <v>110</v>
      </c>
      <c r="I18" t="s">
        <v>453</v>
      </c>
      <c r="J18" t="s">
        <v>395</v>
      </c>
      <c r="K18" t="s">
        <v>453</v>
      </c>
      <c r="L18" t="s">
        <v>395</v>
      </c>
    </row>
    <row r="19" spans="3:12" x14ac:dyDescent="0.25">
      <c r="C19" t="s">
        <v>43</v>
      </c>
      <c r="D19" t="s">
        <v>35</v>
      </c>
      <c r="E19" t="s">
        <v>240</v>
      </c>
      <c r="F19" t="s">
        <v>79</v>
      </c>
      <c r="G19" t="s">
        <v>275</v>
      </c>
      <c r="H19" t="s">
        <v>111</v>
      </c>
      <c r="I19" t="s">
        <v>454</v>
      </c>
      <c r="J19" t="s">
        <v>393</v>
      </c>
      <c r="K19" t="s">
        <v>454</v>
      </c>
      <c r="L19" t="s">
        <v>393</v>
      </c>
    </row>
    <row r="20" spans="3:12" x14ac:dyDescent="0.25">
      <c r="C20" t="s">
        <v>44</v>
      </c>
      <c r="D20" t="s">
        <v>36</v>
      </c>
      <c r="E20" t="s">
        <v>241</v>
      </c>
      <c r="F20" t="s">
        <v>80</v>
      </c>
      <c r="G20" t="s">
        <v>276</v>
      </c>
      <c r="H20" t="s">
        <v>112</v>
      </c>
      <c r="I20" t="s">
        <v>455</v>
      </c>
      <c r="J20" t="s">
        <v>390</v>
      </c>
      <c r="K20" t="s">
        <v>455</v>
      </c>
      <c r="L20" t="s">
        <v>390</v>
      </c>
    </row>
    <row r="21" spans="3:12" x14ac:dyDescent="0.25">
      <c r="C21" t="s">
        <v>45</v>
      </c>
      <c r="D21" t="s">
        <v>37</v>
      </c>
      <c r="E21" t="s">
        <v>242</v>
      </c>
      <c r="F21" t="s">
        <v>81</v>
      </c>
      <c r="G21" t="s">
        <v>277</v>
      </c>
      <c r="H21" t="s">
        <v>113</v>
      </c>
      <c r="I21" t="s">
        <v>456</v>
      </c>
      <c r="J21" t="s">
        <v>389</v>
      </c>
      <c r="K21" t="s">
        <v>456</v>
      </c>
      <c r="L21" t="s">
        <v>389</v>
      </c>
    </row>
    <row r="22" spans="3:12" x14ac:dyDescent="0.25">
      <c r="C22" t="s">
        <v>46</v>
      </c>
      <c r="D22" t="s">
        <v>38</v>
      </c>
      <c r="E22" t="s">
        <v>243</v>
      </c>
      <c r="F22" t="s">
        <v>83</v>
      </c>
      <c r="G22" t="s">
        <v>278</v>
      </c>
      <c r="H22" t="s">
        <v>114</v>
      </c>
      <c r="I22" t="s">
        <v>457</v>
      </c>
      <c r="J22" t="s">
        <v>391</v>
      </c>
      <c r="K22" t="s">
        <v>457</v>
      </c>
      <c r="L22" t="s">
        <v>391</v>
      </c>
    </row>
    <row r="23" spans="3:12" x14ac:dyDescent="0.25">
      <c r="C23" t="s">
        <v>47</v>
      </c>
      <c r="D23" t="s">
        <v>31</v>
      </c>
      <c r="E23" t="s">
        <v>244</v>
      </c>
      <c r="F23" t="s">
        <v>84</v>
      </c>
      <c r="G23" t="s">
        <v>279</v>
      </c>
      <c r="H23" t="s">
        <v>57</v>
      </c>
      <c r="I23" t="s">
        <v>458</v>
      </c>
      <c r="J23" t="s">
        <v>392</v>
      </c>
      <c r="K23" t="s">
        <v>458</v>
      </c>
      <c r="L23" t="s">
        <v>392</v>
      </c>
    </row>
    <row r="24" spans="3:12" x14ac:dyDescent="0.25">
      <c r="E24" t="s">
        <v>245</v>
      </c>
      <c r="F24" t="s">
        <v>82</v>
      </c>
      <c r="G24" t="s">
        <v>280</v>
      </c>
      <c r="H24" t="s">
        <v>115</v>
      </c>
      <c r="I24" t="s">
        <v>459</v>
      </c>
      <c r="J24" t="s">
        <v>394</v>
      </c>
      <c r="K24" t="s">
        <v>459</v>
      </c>
      <c r="L24" t="s">
        <v>394</v>
      </c>
    </row>
    <row r="25" spans="3:12" x14ac:dyDescent="0.25">
      <c r="E25" t="s">
        <v>246</v>
      </c>
      <c r="F25" t="s">
        <v>85</v>
      </c>
      <c r="G25" t="s">
        <v>281</v>
      </c>
      <c r="H25" t="s">
        <v>116</v>
      </c>
      <c r="I25" t="s">
        <v>460</v>
      </c>
      <c r="J25" t="s">
        <v>396</v>
      </c>
      <c r="K25" t="s">
        <v>460</v>
      </c>
      <c r="L25" t="s">
        <v>396</v>
      </c>
    </row>
    <row r="26" spans="3:12" x14ac:dyDescent="0.25">
      <c r="E26" t="s">
        <v>247</v>
      </c>
      <c r="F26" t="s">
        <v>86</v>
      </c>
      <c r="G26" t="s">
        <v>282</v>
      </c>
      <c r="H26" t="s">
        <v>117</v>
      </c>
      <c r="I26" t="s">
        <v>461</v>
      </c>
      <c r="J26" t="s">
        <v>397</v>
      </c>
      <c r="K26" t="s">
        <v>461</v>
      </c>
      <c r="L26" t="s">
        <v>397</v>
      </c>
    </row>
    <row r="27" spans="3:12" x14ac:dyDescent="0.25">
      <c r="E27" t="s">
        <v>248</v>
      </c>
      <c r="F27" t="s">
        <v>87</v>
      </c>
      <c r="G27" t="s">
        <v>283</v>
      </c>
      <c r="H27" t="s">
        <v>118</v>
      </c>
      <c r="I27" t="s">
        <v>462</v>
      </c>
      <c r="J27" t="s">
        <v>398</v>
      </c>
      <c r="K27" t="s">
        <v>462</v>
      </c>
      <c r="L27" t="s">
        <v>398</v>
      </c>
    </row>
    <row r="28" spans="3:12" x14ac:dyDescent="0.25">
      <c r="E28" t="s">
        <v>249</v>
      </c>
      <c r="F28" t="s">
        <v>61</v>
      </c>
      <c r="G28" t="s">
        <v>284</v>
      </c>
      <c r="H28" t="s">
        <v>119</v>
      </c>
      <c r="I28" t="s">
        <v>563</v>
      </c>
      <c r="J28" t="s">
        <v>564</v>
      </c>
      <c r="K28" t="s">
        <v>563</v>
      </c>
      <c r="L28" t="s">
        <v>564</v>
      </c>
    </row>
    <row r="29" spans="3:12" x14ac:dyDescent="0.25">
      <c r="E29" t="s">
        <v>250</v>
      </c>
      <c r="F29" t="s">
        <v>89</v>
      </c>
      <c r="G29" t="s">
        <v>285</v>
      </c>
      <c r="H29" t="s">
        <v>120</v>
      </c>
    </row>
    <row r="30" spans="3:12" x14ac:dyDescent="0.25">
      <c r="E30" t="s">
        <v>251</v>
      </c>
      <c r="F30" t="s">
        <v>90</v>
      </c>
      <c r="G30" t="s">
        <v>286</v>
      </c>
      <c r="H30" t="s">
        <v>121</v>
      </c>
    </row>
    <row r="31" spans="3:12" x14ac:dyDescent="0.25">
      <c r="E31" t="s">
        <v>252</v>
      </c>
      <c r="F31" t="s">
        <v>88</v>
      </c>
      <c r="G31" t="s">
        <v>287</v>
      </c>
      <c r="H31" t="s">
        <v>122</v>
      </c>
    </row>
    <row r="32" spans="3:12" x14ac:dyDescent="0.25">
      <c r="E32" t="s">
        <v>253</v>
      </c>
      <c r="F32" t="s">
        <v>91</v>
      </c>
      <c r="G32" t="s">
        <v>288</v>
      </c>
      <c r="H32" t="s">
        <v>123</v>
      </c>
    </row>
    <row r="33" spans="5:8" x14ac:dyDescent="0.25">
      <c r="E33" t="s">
        <v>254</v>
      </c>
      <c r="F33" t="s">
        <v>208</v>
      </c>
      <c r="G33" t="s">
        <v>289</v>
      </c>
      <c r="H33" t="s">
        <v>124</v>
      </c>
    </row>
    <row r="34" spans="5:8" x14ac:dyDescent="0.25">
      <c r="E34" t="s">
        <v>255</v>
      </c>
      <c r="F34" t="s">
        <v>209</v>
      </c>
      <c r="G34" t="s">
        <v>290</v>
      </c>
      <c r="H34" t="s">
        <v>125</v>
      </c>
    </row>
    <row r="35" spans="5:8" x14ac:dyDescent="0.25">
      <c r="E35" t="s">
        <v>256</v>
      </c>
      <c r="F35" t="s">
        <v>94</v>
      </c>
      <c r="G35" t="s">
        <v>291</v>
      </c>
      <c r="H35" t="s">
        <v>126</v>
      </c>
    </row>
    <row r="36" spans="5:8" x14ac:dyDescent="0.25">
      <c r="E36" t="s">
        <v>257</v>
      </c>
      <c r="F36" t="s">
        <v>92</v>
      </c>
      <c r="G36" t="s">
        <v>292</v>
      </c>
      <c r="H36" t="s">
        <v>127</v>
      </c>
    </row>
    <row r="37" spans="5:8" x14ac:dyDescent="0.25">
      <c r="G37" t="s">
        <v>293</v>
      </c>
      <c r="H37" t="s">
        <v>58</v>
      </c>
    </row>
    <row r="38" spans="5:8" x14ac:dyDescent="0.25">
      <c r="G38" t="s">
        <v>294</v>
      </c>
      <c r="H38" t="s">
        <v>128</v>
      </c>
    </row>
    <row r="39" spans="5:8" x14ac:dyDescent="0.25">
      <c r="G39" t="s">
        <v>295</v>
      </c>
      <c r="H39" t="s">
        <v>129</v>
      </c>
    </row>
    <row r="40" spans="5:8" x14ac:dyDescent="0.25">
      <c r="G40" t="s">
        <v>296</v>
      </c>
      <c r="H40" t="s">
        <v>130</v>
      </c>
    </row>
    <row r="41" spans="5:8" x14ac:dyDescent="0.25">
      <c r="G41" t="s">
        <v>297</v>
      </c>
      <c r="H41" t="s">
        <v>131</v>
      </c>
    </row>
    <row r="42" spans="5:8" x14ac:dyDescent="0.25">
      <c r="G42" t="s">
        <v>298</v>
      </c>
      <c r="H42" t="s">
        <v>132</v>
      </c>
    </row>
    <row r="43" spans="5:8" x14ac:dyDescent="0.25">
      <c r="G43" t="s">
        <v>299</v>
      </c>
      <c r="H43" t="s">
        <v>133</v>
      </c>
    </row>
    <row r="44" spans="5:8" x14ac:dyDescent="0.25">
      <c r="G44" t="s">
        <v>300</v>
      </c>
      <c r="H44" t="s">
        <v>134</v>
      </c>
    </row>
    <row r="45" spans="5:8" x14ac:dyDescent="0.25">
      <c r="G45" t="s">
        <v>301</v>
      </c>
      <c r="H45" t="s">
        <v>135</v>
      </c>
    </row>
    <row r="46" spans="5:8" x14ac:dyDescent="0.25">
      <c r="G46" t="s">
        <v>302</v>
      </c>
      <c r="H46" t="s">
        <v>69</v>
      </c>
    </row>
    <row r="47" spans="5:8" x14ac:dyDescent="0.25">
      <c r="G47" t="s">
        <v>303</v>
      </c>
      <c r="H47" t="s">
        <v>136</v>
      </c>
    </row>
    <row r="48" spans="5:8" x14ac:dyDescent="0.25">
      <c r="G48" t="s">
        <v>304</v>
      </c>
      <c r="H48" t="s">
        <v>137</v>
      </c>
    </row>
    <row r="49" spans="7:8" x14ac:dyDescent="0.25">
      <c r="G49" t="s">
        <v>305</v>
      </c>
      <c r="H49" t="s">
        <v>138</v>
      </c>
    </row>
    <row r="50" spans="7:8" x14ac:dyDescent="0.25">
      <c r="G50" t="s">
        <v>306</v>
      </c>
      <c r="H50" t="s">
        <v>139</v>
      </c>
    </row>
    <row r="51" spans="7:8" x14ac:dyDescent="0.25">
      <c r="G51" t="s">
        <v>307</v>
      </c>
      <c r="H51" t="s">
        <v>140</v>
      </c>
    </row>
    <row r="52" spans="7:8" x14ac:dyDescent="0.25">
      <c r="G52" t="s">
        <v>308</v>
      </c>
      <c r="H52" t="s">
        <v>141</v>
      </c>
    </row>
    <row r="53" spans="7:8" x14ac:dyDescent="0.25">
      <c r="G53" t="s">
        <v>309</v>
      </c>
      <c r="H53" t="s">
        <v>142</v>
      </c>
    </row>
    <row r="54" spans="7:8" x14ac:dyDescent="0.25">
      <c r="G54" t="s">
        <v>310</v>
      </c>
      <c r="H54" t="s">
        <v>78</v>
      </c>
    </row>
    <row r="55" spans="7:8" x14ac:dyDescent="0.25">
      <c r="G55" t="s">
        <v>311</v>
      </c>
      <c r="H55" t="s">
        <v>77</v>
      </c>
    </row>
    <row r="56" spans="7:8" x14ac:dyDescent="0.25">
      <c r="G56" t="s">
        <v>312</v>
      </c>
      <c r="H56" t="s">
        <v>143</v>
      </c>
    </row>
    <row r="57" spans="7:8" x14ac:dyDescent="0.25">
      <c r="G57" t="s">
        <v>313</v>
      </c>
      <c r="H57" t="s">
        <v>144</v>
      </c>
    </row>
    <row r="58" spans="7:8" x14ac:dyDescent="0.25">
      <c r="G58" t="s">
        <v>314</v>
      </c>
      <c r="H58" t="s">
        <v>145</v>
      </c>
    </row>
    <row r="59" spans="7:8" x14ac:dyDescent="0.25">
      <c r="G59" t="s">
        <v>315</v>
      </c>
      <c r="H59" t="s">
        <v>146</v>
      </c>
    </row>
    <row r="60" spans="7:8" x14ac:dyDescent="0.25">
      <c r="G60" t="s">
        <v>316</v>
      </c>
      <c r="H60" t="s">
        <v>147</v>
      </c>
    </row>
    <row r="61" spans="7:8" x14ac:dyDescent="0.25">
      <c r="G61" t="s">
        <v>317</v>
      </c>
      <c r="H61" t="s">
        <v>148</v>
      </c>
    </row>
    <row r="62" spans="7:8" x14ac:dyDescent="0.25">
      <c r="G62" t="s">
        <v>318</v>
      </c>
      <c r="H62" t="s">
        <v>93</v>
      </c>
    </row>
    <row r="63" spans="7:8" x14ac:dyDescent="0.25">
      <c r="G63" t="s">
        <v>319</v>
      </c>
      <c r="H63" t="s">
        <v>149</v>
      </c>
    </row>
    <row r="64" spans="7:8" x14ac:dyDescent="0.25">
      <c r="G64" t="s">
        <v>320</v>
      </c>
      <c r="H64" t="s">
        <v>72</v>
      </c>
    </row>
    <row r="65" spans="7:8" x14ac:dyDescent="0.25">
      <c r="G65" t="s">
        <v>321</v>
      </c>
      <c r="H65" t="s">
        <v>150</v>
      </c>
    </row>
    <row r="66" spans="7:8" x14ac:dyDescent="0.25">
      <c r="G66" t="s">
        <v>322</v>
      </c>
      <c r="H66" t="s">
        <v>151</v>
      </c>
    </row>
    <row r="67" spans="7:8" x14ac:dyDescent="0.25">
      <c r="G67" t="s">
        <v>323</v>
      </c>
      <c r="H67" t="s">
        <v>152</v>
      </c>
    </row>
    <row r="68" spans="7:8" x14ac:dyDescent="0.25">
      <c r="G68" t="s">
        <v>324</v>
      </c>
      <c r="H68" t="s">
        <v>153</v>
      </c>
    </row>
    <row r="69" spans="7:8" x14ac:dyDescent="0.25">
      <c r="G69" t="s">
        <v>325</v>
      </c>
      <c r="H69" t="s">
        <v>154</v>
      </c>
    </row>
    <row r="70" spans="7:8" x14ac:dyDescent="0.25">
      <c r="G70" t="s">
        <v>326</v>
      </c>
      <c r="H70" t="s">
        <v>155</v>
      </c>
    </row>
    <row r="71" spans="7:8" x14ac:dyDescent="0.25">
      <c r="G71" t="s">
        <v>327</v>
      </c>
      <c r="H71" t="s">
        <v>156</v>
      </c>
    </row>
    <row r="72" spans="7:8" x14ac:dyDescent="0.25">
      <c r="G72" t="s">
        <v>328</v>
      </c>
      <c r="H72" t="s">
        <v>157</v>
      </c>
    </row>
    <row r="73" spans="7:8" x14ac:dyDescent="0.25">
      <c r="G73" t="s">
        <v>329</v>
      </c>
      <c r="H73" t="s">
        <v>158</v>
      </c>
    </row>
    <row r="74" spans="7:8" x14ac:dyDescent="0.25">
      <c r="G74" t="s">
        <v>330</v>
      </c>
      <c r="H74" t="s">
        <v>159</v>
      </c>
    </row>
    <row r="75" spans="7:8" x14ac:dyDescent="0.25">
      <c r="G75" t="s">
        <v>331</v>
      </c>
      <c r="H75" t="s">
        <v>160</v>
      </c>
    </row>
    <row r="76" spans="7:8" x14ac:dyDescent="0.25">
      <c r="G76" t="s">
        <v>332</v>
      </c>
      <c r="H76" t="s">
        <v>161</v>
      </c>
    </row>
    <row r="77" spans="7:8" x14ac:dyDescent="0.25">
      <c r="G77" t="s">
        <v>333</v>
      </c>
      <c r="H77" t="s">
        <v>162</v>
      </c>
    </row>
    <row r="78" spans="7:8" x14ac:dyDescent="0.25">
      <c r="G78" t="s">
        <v>334</v>
      </c>
      <c r="H78" t="s">
        <v>163</v>
      </c>
    </row>
    <row r="79" spans="7:8" x14ac:dyDescent="0.25">
      <c r="G79" t="s">
        <v>335</v>
      </c>
      <c r="H79" t="s">
        <v>164</v>
      </c>
    </row>
    <row r="80" spans="7:8" x14ac:dyDescent="0.25">
      <c r="G80" t="s">
        <v>336</v>
      </c>
      <c r="H80" t="s">
        <v>165</v>
      </c>
    </row>
    <row r="81" spans="7:8" x14ac:dyDescent="0.25">
      <c r="G81" t="s">
        <v>337</v>
      </c>
      <c r="H81" t="s">
        <v>166</v>
      </c>
    </row>
    <row r="82" spans="7:8" x14ac:dyDescent="0.25">
      <c r="G82" t="s">
        <v>338</v>
      </c>
      <c r="H82" t="s">
        <v>167</v>
      </c>
    </row>
    <row r="83" spans="7:8" x14ac:dyDescent="0.25">
      <c r="G83" t="s">
        <v>339</v>
      </c>
      <c r="H83" t="s">
        <v>168</v>
      </c>
    </row>
    <row r="84" spans="7:8" x14ac:dyDescent="0.25">
      <c r="G84" t="s">
        <v>340</v>
      </c>
      <c r="H84" t="s">
        <v>169</v>
      </c>
    </row>
    <row r="85" spans="7:8" x14ac:dyDescent="0.25">
      <c r="G85" t="s">
        <v>341</v>
      </c>
      <c r="H85" t="s">
        <v>170</v>
      </c>
    </row>
    <row r="86" spans="7:8" x14ac:dyDescent="0.25">
      <c r="G86" t="s">
        <v>342</v>
      </c>
      <c r="H86" t="s">
        <v>171</v>
      </c>
    </row>
    <row r="87" spans="7:8" x14ac:dyDescent="0.25">
      <c r="G87" t="s">
        <v>343</v>
      </c>
      <c r="H87" t="s">
        <v>172</v>
      </c>
    </row>
    <row r="88" spans="7:8" x14ac:dyDescent="0.25">
      <c r="G88" t="s">
        <v>344</v>
      </c>
      <c r="H88" t="s">
        <v>173</v>
      </c>
    </row>
    <row r="89" spans="7:8" x14ac:dyDescent="0.25">
      <c r="G89" t="s">
        <v>345</v>
      </c>
      <c r="H89" t="s">
        <v>174</v>
      </c>
    </row>
    <row r="90" spans="7:8" x14ac:dyDescent="0.25">
      <c r="G90" t="s">
        <v>346</v>
      </c>
      <c r="H90" t="s">
        <v>175</v>
      </c>
    </row>
    <row r="91" spans="7:8" x14ac:dyDescent="0.25">
      <c r="G91" t="s">
        <v>347</v>
      </c>
      <c r="H91" t="s">
        <v>60</v>
      </c>
    </row>
    <row r="92" spans="7:8" x14ac:dyDescent="0.25">
      <c r="G92" t="s">
        <v>348</v>
      </c>
      <c r="H92" t="s">
        <v>176</v>
      </c>
    </row>
    <row r="93" spans="7:8" x14ac:dyDescent="0.25">
      <c r="G93" t="s">
        <v>349</v>
      </c>
      <c r="H93" t="s">
        <v>177</v>
      </c>
    </row>
    <row r="94" spans="7:8" x14ac:dyDescent="0.25">
      <c r="G94" t="s">
        <v>350</v>
      </c>
      <c r="H94" t="s">
        <v>178</v>
      </c>
    </row>
    <row r="95" spans="7:8" x14ac:dyDescent="0.25">
      <c r="G95" t="s">
        <v>351</v>
      </c>
      <c r="H95" t="s">
        <v>179</v>
      </c>
    </row>
    <row r="96" spans="7:8" x14ac:dyDescent="0.25">
      <c r="G96" t="s">
        <v>352</v>
      </c>
      <c r="H96" t="s">
        <v>180</v>
      </c>
    </row>
    <row r="97" spans="7:8" x14ac:dyDescent="0.25">
      <c r="G97" t="s">
        <v>353</v>
      </c>
      <c r="H97" t="s">
        <v>181</v>
      </c>
    </row>
    <row r="98" spans="7:8" x14ac:dyDescent="0.25">
      <c r="G98" t="s">
        <v>354</v>
      </c>
      <c r="H98" t="s">
        <v>182</v>
      </c>
    </row>
    <row r="99" spans="7:8" x14ac:dyDescent="0.25">
      <c r="G99" t="s">
        <v>355</v>
      </c>
      <c r="H99" t="s">
        <v>183</v>
      </c>
    </row>
    <row r="100" spans="7:8" x14ac:dyDescent="0.25">
      <c r="G100" t="s">
        <v>356</v>
      </c>
      <c r="H100" t="s">
        <v>184</v>
      </c>
    </row>
    <row r="101" spans="7:8" x14ac:dyDescent="0.25">
      <c r="G101" t="s">
        <v>357</v>
      </c>
      <c r="H101" t="s">
        <v>185</v>
      </c>
    </row>
    <row r="102" spans="7:8" x14ac:dyDescent="0.25">
      <c r="G102" t="s">
        <v>358</v>
      </c>
      <c r="H102" t="s">
        <v>186</v>
      </c>
    </row>
    <row r="103" spans="7:8" x14ac:dyDescent="0.25">
      <c r="G103" t="s">
        <v>359</v>
      </c>
      <c r="H103" t="s">
        <v>187</v>
      </c>
    </row>
    <row r="104" spans="7:8" x14ac:dyDescent="0.25">
      <c r="G104" t="s">
        <v>360</v>
      </c>
      <c r="H104" t="s">
        <v>188</v>
      </c>
    </row>
    <row r="105" spans="7:8" x14ac:dyDescent="0.25">
      <c r="G105" t="s">
        <v>361</v>
      </c>
      <c r="H105" t="s">
        <v>189</v>
      </c>
    </row>
    <row r="106" spans="7:8" x14ac:dyDescent="0.25">
      <c r="G106" t="s">
        <v>362</v>
      </c>
      <c r="H106" t="s">
        <v>190</v>
      </c>
    </row>
    <row r="107" spans="7:8" x14ac:dyDescent="0.25">
      <c r="G107" t="s">
        <v>363</v>
      </c>
      <c r="H107" t="s">
        <v>191</v>
      </c>
    </row>
    <row r="108" spans="7:8" x14ac:dyDescent="0.25">
      <c r="G108" t="s">
        <v>364</v>
      </c>
      <c r="H108" t="s">
        <v>192</v>
      </c>
    </row>
    <row r="109" spans="7:8" x14ac:dyDescent="0.25">
      <c r="G109" t="s">
        <v>365</v>
      </c>
      <c r="H109" t="s">
        <v>193</v>
      </c>
    </row>
    <row r="110" spans="7:8" x14ac:dyDescent="0.25">
      <c r="G110" t="s">
        <v>366</v>
      </c>
      <c r="H110" t="s">
        <v>194</v>
      </c>
    </row>
    <row r="111" spans="7:8" x14ac:dyDescent="0.25">
      <c r="G111" t="s">
        <v>367</v>
      </c>
      <c r="H111" t="s">
        <v>26</v>
      </c>
    </row>
    <row r="112" spans="7:8" x14ac:dyDescent="0.25">
      <c r="G112" t="s">
        <v>368</v>
      </c>
      <c r="H112" t="s">
        <v>195</v>
      </c>
    </row>
    <row r="113" spans="7:8" x14ac:dyDescent="0.25">
      <c r="G113" t="s">
        <v>369</v>
      </c>
      <c r="H113" t="s">
        <v>196</v>
      </c>
    </row>
    <row r="114" spans="7:8" x14ac:dyDescent="0.25">
      <c r="G114" t="s">
        <v>370</v>
      </c>
      <c r="H114" t="s">
        <v>197</v>
      </c>
    </row>
    <row r="115" spans="7:8" x14ac:dyDescent="0.25">
      <c r="G115" t="s">
        <v>371</v>
      </c>
      <c r="H115" t="s">
        <v>198</v>
      </c>
    </row>
    <row r="116" spans="7:8" x14ac:dyDescent="0.25">
      <c r="G116" t="s">
        <v>372</v>
      </c>
      <c r="H116" t="s">
        <v>199</v>
      </c>
    </row>
    <row r="117" spans="7:8" x14ac:dyDescent="0.25">
      <c r="G117" t="s">
        <v>373</v>
      </c>
      <c r="H117" t="s">
        <v>200</v>
      </c>
    </row>
    <row r="118" spans="7:8" x14ac:dyDescent="0.25">
      <c r="G118" t="s">
        <v>374</v>
      </c>
      <c r="H118" t="s">
        <v>201</v>
      </c>
    </row>
    <row r="119" spans="7:8" x14ac:dyDescent="0.25">
      <c r="G119" t="s">
        <v>375</v>
      </c>
      <c r="H119" t="s">
        <v>202</v>
      </c>
    </row>
    <row r="120" spans="7:8" x14ac:dyDescent="0.25">
      <c r="G120" t="s">
        <v>376</v>
      </c>
      <c r="H120" t="s">
        <v>203</v>
      </c>
    </row>
    <row r="121" spans="7:8" x14ac:dyDescent="0.25">
      <c r="G121" t="s">
        <v>377</v>
      </c>
      <c r="H121" t="s">
        <v>204</v>
      </c>
    </row>
    <row r="122" spans="7:8" x14ac:dyDescent="0.25">
      <c r="G122" t="s">
        <v>378</v>
      </c>
      <c r="H122" t="s">
        <v>205</v>
      </c>
    </row>
    <row r="123" spans="7:8" x14ac:dyDescent="0.25">
      <c r="G123" t="s">
        <v>379</v>
      </c>
      <c r="H123" t="s">
        <v>206</v>
      </c>
    </row>
    <row r="124" spans="7:8" x14ac:dyDescent="0.25">
      <c r="G124" t="s">
        <v>380</v>
      </c>
      <c r="H124" t="s">
        <v>207</v>
      </c>
    </row>
    <row r="125" spans="7:8" x14ac:dyDescent="0.25">
      <c r="G125" t="s">
        <v>381</v>
      </c>
      <c r="H125" t="s">
        <v>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1733E-B553-4D2B-9D7B-B34A45CA2B5B}">
  <sheetPr codeName="Sheet10"/>
  <dimension ref="A1:D9"/>
  <sheetViews>
    <sheetView workbookViewId="0">
      <selection activeCell="B14" sqref="B14"/>
    </sheetView>
  </sheetViews>
  <sheetFormatPr defaultRowHeight="15" x14ac:dyDescent="0.25"/>
  <cols>
    <col min="1" max="1" width="18.7109375" bestFit="1" customWidth="1"/>
    <col min="2" max="2" width="28.28515625" bestFit="1" customWidth="1"/>
    <col min="3" max="3" width="43.7109375" customWidth="1"/>
    <col min="4" max="4" width="28.85546875" bestFit="1" customWidth="1"/>
  </cols>
  <sheetData>
    <row r="1" spans="1:4" ht="18" thickBot="1" x14ac:dyDescent="0.35">
      <c r="A1" s="5" t="s">
        <v>433</v>
      </c>
      <c r="B1" t="s">
        <v>1257</v>
      </c>
      <c r="C1" t="s">
        <v>1258</v>
      </c>
      <c r="D1" t="s">
        <v>1217</v>
      </c>
    </row>
    <row r="2" spans="1:4" ht="15.75" thickTop="1" x14ac:dyDescent="0.25">
      <c r="A2" t="s">
        <v>755</v>
      </c>
      <c r="C2" t="s">
        <v>1051</v>
      </c>
    </row>
    <row r="3" spans="1:4" x14ac:dyDescent="0.25">
      <c r="A3" t="s">
        <v>583</v>
      </c>
      <c r="B3" t="s">
        <v>1050</v>
      </c>
      <c r="C3" t="s">
        <v>1224</v>
      </c>
      <c r="D3" t="s">
        <v>1219</v>
      </c>
    </row>
    <row r="4" spans="1:4" x14ac:dyDescent="0.25">
      <c r="A4" t="s">
        <v>702</v>
      </c>
      <c r="B4" t="s">
        <v>1269</v>
      </c>
      <c r="C4" t="s">
        <v>1221</v>
      </c>
      <c r="D4" t="s">
        <v>1218</v>
      </c>
    </row>
    <row r="5" spans="1:4" x14ac:dyDescent="0.25">
      <c r="A5" t="s">
        <v>435</v>
      </c>
      <c r="B5" t="s">
        <v>1049</v>
      </c>
      <c r="D5" t="s">
        <v>1260</v>
      </c>
    </row>
    <row r="6" spans="1:4" x14ac:dyDescent="0.25">
      <c r="A6" t="s">
        <v>434</v>
      </c>
      <c r="B6" t="s">
        <v>1050</v>
      </c>
      <c r="C6" t="s">
        <v>1223</v>
      </c>
      <c r="D6" t="s">
        <v>1219</v>
      </c>
    </row>
    <row r="7" spans="1:4" x14ac:dyDescent="0.25">
      <c r="A7" t="s">
        <v>643</v>
      </c>
      <c r="C7" t="s">
        <v>1052</v>
      </c>
      <c r="D7" t="s">
        <v>1259</v>
      </c>
    </row>
    <row r="8" spans="1:4" x14ac:dyDescent="0.25">
      <c r="A8" t="s">
        <v>753</v>
      </c>
      <c r="B8" t="s">
        <v>1050</v>
      </c>
      <c r="C8" t="s">
        <v>1222</v>
      </c>
      <c r="D8" t="s">
        <v>1220</v>
      </c>
    </row>
    <row r="9" spans="1:4" x14ac:dyDescent="0.25">
      <c r="A9" t="s">
        <v>436</v>
      </c>
      <c r="B9" t="s">
        <v>1050</v>
      </c>
      <c r="C9" t="s">
        <v>1222</v>
      </c>
      <c r="D9" t="s">
        <v>1218</v>
      </c>
    </row>
  </sheetData>
  <sortState xmlns:xlrd2="http://schemas.microsoft.com/office/spreadsheetml/2017/richdata2" ref="A2:D9">
    <sortCondition ref="A2:A9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2876-6D99-450C-B249-3E13D416BFF1}">
  <sheetPr codeName="Sheet11"/>
  <dimension ref="A1:D29"/>
  <sheetViews>
    <sheetView workbookViewId="0">
      <selection activeCell="A2" sqref="A2:D29"/>
    </sheetView>
  </sheetViews>
  <sheetFormatPr defaultRowHeight="15" x14ac:dyDescent="0.25"/>
  <cols>
    <col min="1" max="1" width="29" style="7" bestFit="1" customWidth="1"/>
    <col min="2" max="2" width="43.7109375" style="7" bestFit="1" customWidth="1"/>
    <col min="3" max="3" width="50.7109375" style="7" customWidth="1"/>
    <col min="4" max="4" width="35.85546875" style="7" customWidth="1"/>
    <col min="5" max="16384" width="9.140625" style="7"/>
  </cols>
  <sheetData>
    <row r="1" spans="1:4" x14ac:dyDescent="0.25">
      <c r="A1" s="6" t="s">
        <v>1029</v>
      </c>
      <c r="B1" s="7" t="s">
        <v>1045</v>
      </c>
      <c r="C1" s="7" t="s">
        <v>1032</v>
      </c>
      <c r="D1" s="7" t="s">
        <v>1237</v>
      </c>
    </row>
    <row r="2" spans="1:4" x14ac:dyDescent="0.25">
      <c r="A2" s="8" t="s">
        <v>563</v>
      </c>
      <c r="B2" s="7" t="s">
        <v>1043</v>
      </c>
      <c r="D2" s="7" t="s">
        <v>1238</v>
      </c>
    </row>
    <row r="3" spans="1:4" x14ac:dyDescent="0.25">
      <c r="A3" s="8" t="s">
        <v>442</v>
      </c>
      <c r="B3" s="7" t="s">
        <v>1035</v>
      </c>
    </row>
    <row r="4" spans="1:4" x14ac:dyDescent="0.25">
      <c r="A4" s="13" t="s">
        <v>462</v>
      </c>
      <c r="B4" s="7" t="s">
        <v>1030</v>
      </c>
      <c r="C4" s="7" t="s">
        <v>1239</v>
      </c>
    </row>
    <row r="5" spans="1:4" x14ac:dyDescent="0.25">
      <c r="A5" s="13" t="s">
        <v>441</v>
      </c>
      <c r="B5" s="7" t="s">
        <v>1225</v>
      </c>
      <c r="D5" s="7" t="s">
        <v>1240</v>
      </c>
    </row>
    <row r="6" spans="1:4" x14ac:dyDescent="0.25">
      <c r="A6" s="13" t="s">
        <v>460</v>
      </c>
      <c r="B6" s="7" t="s">
        <v>1226</v>
      </c>
    </row>
    <row r="7" spans="1:4" x14ac:dyDescent="0.25">
      <c r="A7" s="13" t="s">
        <v>438</v>
      </c>
      <c r="B7" s="7" t="s">
        <v>1036</v>
      </c>
      <c r="D7" s="7" t="s">
        <v>1241</v>
      </c>
    </row>
    <row r="8" spans="1:4" x14ac:dyDescent="0.25">
      <c r="A8" s="8" t="s">
        <v>461</v>
      </c>
      <c r="B8" s="7" t="s">
        <v>1030</v>
      </c>
    </row>
    <row r="9" spans="1:4" x14ac:dyDescent="0.25">
      <c r="A9" s="13" t="s">
        <v>454</v>
      </c>
      <c r="B9" s="7" t="s">
        <v>1227</v>
      </c>
    </row>
    <row r="10" spans="1:4" x14ac:dyDescent="0.25">
      <c r="A10" s="13" t="s">
        <v>458</v>
      </c>
      <c r="B10" s="7" t="s">
        <v>1228</v>
      </c>
    </row>
    <row r="11" spans="1:4" x14ac:dyDescent="0.25">
      <c r="A11" s="13" t="s">
        <v>459</v>
      </c>
      <c r="B11" s="7" t="s">
        <v>1229</v>
      </c>
    </row>
    <row r="12" spans="1:4" ht="30" x14ac:dyDescent="0.25">
      <c r="A12" s="13" t="s">
        <v>452</v>
      </c>
      <c r="B12" s="7" t="s">
        <v>1230</v>
      </c>
      <c r="D12" s="7" t="s">
        <v>1232</v>
      </c>
    </row>
    <row r="13" spans="1:4" x14ac:dyDescent="0.25">
      <c r="A13" s="13" t="s">
        <v>456</v>
      </c>
      <c r="B13" s="7" t="s">
        <v>1230</v>
      </c>
      <c r="D13" s="7" t="s">
        <v>1231</v>
      </c>
    </row>
    <row r="14" spans="1:4" ht="75" x14ac:dyDescent="0.25">
      <c r="A14" s="7" t="s">
        <v>437</v>
      </c>
      <c r="B14" s="7" t="s">
        <v>1036</v>
      </c>
      <c r="C14" s="7" t="s">
        <v>1037</v>
      </c>
    </row>
    <row r="15" spans="1:4" ht="30" x14ac:dyDescent="0.25">
      <c r="A15" s="7" t="s">
        <v>445</v>
      </c>
      <c r="B15" s="7" t="s">
        <v>1034</v>
      </c>
      <c r="C15" s="7" t="s">
        <v>1233</v>
      </c>
    </row>
    <row r="16" spans="1:4" ht="75" x14ac:dyDescent="0.25">
      <c r="A16" s="13" t="s">
        <v>448</v>
      </c>
      <c r="B16" s="7" t="s">
        <v>1031</v>
      </c>
      <c r="C16" s="7" t="s">
        <v>1233</v>
      </c>
      <c r="D16" s="7" t="s">
        <v>1242</v>
      </c>
    </row>
    <row r="17" spans="1:4" ht="90" x14ac:dyDescent="0.25">
      <c r="A17" s="7" t="s">
        <v>449</v>
      </c>
      <c r="B17" s="7" t="s">
        <v>1044</v>
      </c>
      <c r="C17" s="7" t="s">
        <v>1040</v>
      </c>
    </row>
    <row r="18" spans="1:4" ht="30" x14ac:dyDescent="0.25">
      <c r="A18" s="7" t="s">
        <v>678</v>
      </c>
      <c r="B18" s="7" t="s">
        <v>1034</v>
      </c>
      <c r="C18" s="7" t="s">
        <v>1042</v>
      </c>
    </row>
    <row r="19" spans="1:4" x14ac:dyDescent="0.25">
      <c r="A19" s="7" t="s">
        <v>443</v>
      </c>
      <c r="B19" s="7" t="s">
        <v>1034</v>
      </c>
    </row>
    <row r="20" spans="1:4" ht="75" x14ac:dyDescent="0.25">
      <c r="A20" s="13" t="s">
        <v>439</v>
      </c>
      <c r="B20" s="7" t="s">
        <v>1225</v>
      </c>
      <c r="C20" s="7" t="s">
        <v>1243</v>
      </c>
      <c r="D20" s="7" t="s">
        <v>1242</v>
      </c>
    </row>
    <row r="21" spans="1:4" ht="60" x14ac:dyDescent="0.25">
      <c r="A21" s="7" t="s">
        <v>450</v>
      </c>
      <c r="B21" s="7" t="s">
        <v>1044</v>
      </c>
      <c r="C21" s="7" t="s">
        <v>1039</v>
      </c>
    </row>
    <row r="22" spans="1:4" x14ac:dyDescent="0.25">
      <c r="A22" s="7" t="s">
        <v>447</v>
      </c>
      <c r="B22" s="7" t="s">
        <v>1031</v>
      </c>
    </row>
    <row r="23" spans="1:4" x14ac:dyDescent="0.25">
      <c r="A23" s="13" t="s">
        <v>453</v>
      </c>
      <c r="B23" s="7" t="s">
        <v>1234</v>
      </c>
    </row>
    <row r="24" spans="1:4" ht="45" x14ac:dyDescent="0.25">
      <c r="A24" s="7" t="s">
        <v>446</v>
      </c>
      <c r="B24" s="7" t="s">
        <v>1031</v>
      </c>
      <c r="C24" s="7" t="s">
        <v>1033</v>
      </c>
    </row>
    <row r="25" spans="1:4" x14ac:dyDescent="0.25">
      <c r="A25" s="13" t="s">
        <v>440</v>
      </c>
      <c r="B25" s="7" t="s">
        <v>1225</v>
      </c>
    </row>
    <row r="26" spans="1:4" ht="60" x14ac:dyDescent="0.25">
      <c r="A26" s="7" t="s">
        <v>451</v>
      </c>
      <c r="B26" s="7" t="s">
        <v>1044</v>
      </c>
      <c r="C26" s="7" t="s">
        <v>1038</v>
      </c>
    </row>
    <row r="27" spans="1:4" x14ac:dyDescent="0.25">
      <c r="A27" s="8" t="s">
        <v>444</v>
      </c>
      <c r="B27" s="7" t="s">
        <v>1034</v>
      </c>
      <c r="C27" s="7" t="s">
        <v>1041</v>
      </c>
    </row>
    <row r="28" spans="1:4" x14ac:dyDescent="0.25">
      <c r="A28" s="13" t="s">
        <v>457</v>
      </c>
      <c r="B28" s="7" t="s">
        <v>1235</v>
      </c>
    </row>
    <row r="29" spans="1:4" x14ac:dyDescent="0.25">
      <c r="A29" s="13" t="s">
        <v>455</v>
      </c>
      <c r="B29" s="7" t="s">
        <v>1236</v>
      </c>
    </row>
  </sheetData>
  <sortState xmlns:xlrd2="http://schemas.microsoft.com/office/spreadsheetml/2017/richdata2" ref="A2:D29">
    <sortCondition ref="A2:A29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88DC74-523E-4071-BB3A-3951564388B7}">
          <x14:formula1>
            <xm:f>VocabularyCodes!$I$2:$I$28</xm:f>
          </x14:formula1>
          <xm:sqref>A100:A985</xm:sqref>
        </x14:dataValidation>
        <x14:dataValidation type="list" allowBlank="1" showInputMessage="1" showErrorMessage="1" xr:uid="{4992166C-398C-4DAC-A068-B9EC1F39BF6B}">
          <x14:formula1>
            <xm:f>VocabularyCodes!$I$2:$I$27</xm:f>
          </x14:formula1>
          <xm:sqref>A2:A11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3B244-12B5-4698-A52E-662F11786CA4}">
  <sheetPr codeName="Sheet12"/>
  <dimension ref="A1:B63"/>
  <sheetViews>
    <sheetView topLeftCell="A24" workbookViewId="0">
      <selection activeCell="B31" sqref="A2:B31"/>
    </sheetView>
  </sheetViews>
  <sheetFormatPr defaultRowHeight="15" x14ac:dyDescent="0.25"/>
  <cols>
    <col min="1" max="1" width="38.5703125" style="7" customWidth="1"/>
    <col min="2" max="2" width="51.85546875" style="7" customWidth="1"/>
  </cols>
  <sheetData>
    <row r="1" spans="1:2" x14ac:dyDescent="0.25">
      <c r="A1" s="6" t="s">
        <v>423</v>
      </c>
      <c r="B1" s="7" t="s">
        <v>1067</v>
      </c>
    </row>
    <row r="2" spans="1:2" x14ac:dyDescent="0.25">
      <c r="A2" s="7" t="s">
        <v>675</v>
      </c>
      <c r="B2" s="7" t="s">
        <v>1254</v>
      </c>
    </row>
    <row r="3" spans="1:2" x14ac:dyDescent="0.25">
      <c r="A3" s="7" t="s">
        <v>644</v>
      </c>
      <c r="B3" s="7" t="s">
        <v>1064</v>
      </c>
    </row>
    <row r="4" spans="1:2" ht="28.5" customHeight="1" x14ac:dyDescent="0.25">
      <c r="A4" s="7" t="s">
        <v>664</v>
      </c>
      <c r="B4" s="7" t="s">
        <v>1255</v>
      </c>
    </row>
    <row r="5" spans="1:2" ht="30" x14ac:dyDescent="0.25">
      <c r="A5" s="7" t="s">
        <v>663</v>
      </c>
      <c r="B5" s="7" t="s">
        <v>1056</v>
      </c>
    </row>
    <row r="6" spans="1:2" x14ac:dyDescent="0.25">
      <c r="A6" s="7" t="s">
        <v>647</v>
      </c>
      <c r="B6" s="7" t="s">
        <v>1061</v>
      </c>
    </row>
    <row r="7" spans="1:2" x14ac:dyDescent="0.25">
      <c r="A7" s="7" t="s">
        <v>660</v>
      </c>
      <c r="B7" s="7" t="s">
        <v>1058</v>
      </c>
    </row>
    <row r="8" spans="1:2" ht="30" x14ac:dyDescent="0.25">
      <c r="A8" s="7" t="s">
        <v>656</v>
      </c>
      <c r="B8" s="7" t="s">
        <v>1247</v>
      </c>
    </row>
    <row r="9" spans="1:2" x14ac:dyDescent="0.25">
      <c r="A9" s="7" t="s">
        <v>661</v>
      </c>
      <c r="B9" s="7" t="s">
        <v>1055</v>
      </c>
    </row>
    <row r="10" spans="1:2" ht="30" x14ac:dyDescent="0.25">
      <c r="A10" s="7" t="s">
        <v>658</v>
      </c>
      <c r="B10" s="7" t="s">
        <v>1056</v>
      </c>
    </row>
    <row r="11" spans="1:2" x14ac:dyDescent="0.25">
      <c r="A11" s="7" t="s">
        <v>650</v>
      </c>
      <c r="B11" s="7" t="s">
        <v>1060</v>
      </c>
    </row>
    <row r="12" spans="1:2" x14ac:dyDescent="0.25">
      <c r="A12" s="7" t="s">
        <v>653</v>
      </c>
      <c r="B12" s="7" t="s">
        <v>1249</v>
      </c>
    </row>
    <row r="13" spans="1:2" x14ac:dyDescent="0.25">
      <c r="A13" s="8" t="s">
        <v>645</v>
      </c>
      <c r="B13" s="7" t="s">
        <v>1251</v>
      </c>
    </row>
    <row r="14" spans="1:2" ht="30" x14ac:dyDescent="0.25">
      <c r="A14" s="7" t="s">
        <v>652</v>
      </c>
      <c r="B14" s="7" t="s">
        <v>1250</v>
      </c>
    </row>
    <row r="15" spans="1:2" ht="30" x14ac:dyDescent="0.25">
      <c r="A15" s="7" t="s">
        <v>654</v>
      </c>
      <c r="B15" s="7" t="s">
        <v>1248</v>
      </c>
    </row>
    <row r="16" spans="1:2" x14ac:dyDescent="0.25">
      <c r="A16" s="7" t="s">
        <v>667</v>
      </c>
      <c r="B16" s="7" t="s">
        <v>1062</v>
      </c>
    </row>
    <row r="17" spans="1:2" ht="30" x14ac:dyDescent="0.25">
      <c r="A17" s="7" t="s">
        <v>637</v>
      </c>
      <c r="B17" s="7" t="s">
        <v>1253</v>
      </c>
    </row>
    <row r="18" spans="1:2" ht="30" x14ac:dyDescent="0.25">
      <c r="A18" s="7" t="s">
        <v>662</v>
      </c>
      <c r="B18" s="7" t="s">
        <v>1246</v>
      </c>
    </row>
    <row r="19" spans="1:2" x14ac:dyDescent="0.25">
      <c r="A19" s="7" t="s">
        <v>665</v>
      </c>
      <c r="B19" s="7" t="s">
        <v>1057</v>
      </c>
    </row>
    <row r="20" spans="1:2" ht="30" x14ac:dyDescent="0.25">
      <c r="A20" s="8" t="s">
        <v>651</v>
      </c>
      <c r="B20" s="7" t="s">
        <v>1060</v>
      </c>
    </row>
    <row r="21" spans="1:2" ht="30" x14ac:dyDescent="0.25">
      <c r="A21" s="8" t="s">
        <v>716</v>
      </c>
      <c r="B21" s="7" t="s">
        <v>1250</v>
      </c>
    </row>
    <row r="22" spans="1:2" ht="30" x14ac:dyDescent="0.25">
      <c r="A22" s="7" t="s">
        <v>666</v>
      </c>
      <c r="B22" s="7" t="s">
        <v>1252</v>
      </c>
    </row>
    <row r="23" spans="1:2" ht="30" x14ac:dyDescent="0.25">
      <c r="A23" s="7" t="s">
        <v>649</v>
      </c>
      <c r="B23" s="7" t="s">
        <v>1251</v>
      </c>
    </row>
    <row r="24" spans="1:2" x14ac:dyDescent="0.25">
      <c r="A24" s="7" t="s">
        <v>657</v>
      </c>
      <c r="B24" s="7" t="s">
        <v>1059</v>
      </c>
    </row>
    <row r="25" spans="1:2" x14ac:dyDescent="0.25">
      <c r="A25" s="8" t="s">
        <v>646</v>
      </c>
      <c r="B25" s="7" t="s">
        <v>1061</v>
      </c>
    </row>
    <row r="26" spans="1:2" ht="45" x14ac:dyDescent="0.25">
      <c r="A26" s="7" t="s">
        <v>655</v>
      </c>
      <c r="B26" s="7" t="s">
        <v>1244</v>
      </c>
    </row>
    <row r="27" spans="1:2" x14ac:dyDescent="0.25">
      <c r="A27" s="7" t="s">
        <v>659</v>
      </c>
      <c r="B27" s="7" t="s">
        <v>1245</v>
      </c>
    </row>
    <row r="28" spans="1:2" x14ac:dyDescent="0.25">
      <c r="A28" s="7" t="s">
        <v>669</v>
      </c>
      <c r="B28" s="7" t="s">
        <v>1063</v>
      </c>
    </row>
    <row r="29" spans="1:2" x14ac:dyDescent="0.25">
      <c r="A29" s="7" t="s">
        <v>580</v>
      </c>
      <c r="B29" s="7" t="s">
        <v>1060</v>
      </c>
    </row>
    <row r="30" spans="1:2" x14ac:dyDescent="0.25">
      <c r="A30" s="7" t="s">
        <v>668</v>
      </c>
      <c r="B30" s="7" t="s">
        <v>1060</v>
      </c>
    </row>
    <row r="31" spans="1:2" x14ac:dyDescent="0.25">
      <c r="A31" s="8" t="s">
        <v>648</v>
      </c>
      <c r="B31" s="7" t="s">
        <v>1061</v>
      </c>
    </row>
    <row r="32" spans="1:2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</sheetData>
  <sortState xmlns:xlrd2="http://schemas.microsoft.com/office/spreadsheetml/2017/richdata2" ref="A2:B31">
    <sortCondition ref="A2:A31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7AEC-3024-4FA9-8064-C85DA626E8FE}">
  <sheetPr codeName="Sheet13"/>
  <dimension ref="A1:I63"/>
  <sheetViews>
    <sheetView topLeftCell="B1" workbookViewId="0">
      <selection activeCell="H2" sqref="H2:I63"/>
    </sheetView>
  </sheetViews>
  <sheetFormatPr defaultRowHeight="15" x14ac:dyDescent="0.25"/>
  <cols>
    <col min="1" max="1" width="69" bestFit="1" customWidth="1"/>
    <col min="2" max="2" width="15.7109375" bestFit="1" customWidth="1"/>
    <col min="3" max="3" width="15.7109375" customWidth="1"/>
    <col min="4" max="4" width="18.140625" customWidth="1"/>
    <col min="5" max="5" width="24.5703125" bestFit="1" customWidth="1"/>
    <col min="6" max="6" width="22.28515625" customWidth="1"/>
    <col min="9" max="9" width="27" customWidth="1"/>
  </cols>
  <sheetData>
    <row r="1" spans="1:9" x14ac:dyDescent="0.25">
      <c r="A1" t="s">
        <v>1215</v>
      </c>
      <c r="B1" t="s">
        <v>1151</v>
      </c>
      <c r="D1" t="s">
        <v>415</v>
      </c>
      <c r="E1" t="s">
        <v>417</v>
      </c>
      <c r="F1" t="s">
        <v>419</v>
      </c>
      <c r="H1" t="s">
        <v>1022</v>
      </c>
      <c r="I1" t="s">
        <v>1215</v>
      </c>
    </row>
    <row r="2" spans="1:9" x14ac:dyDescent="0.25">
      <c r="A2" t="s">
        <v>599</v>
      </c>
      <c r="B2" t="s">
        <v>1202</v>
      </c>
      <c r="C2" t="str">
        <f>RIGHT(B2,LEN(B2)-FIND("-", B2))</f>
        <v>AC</v>
      </c>
      <c r="D2" t="s">
        <v>588</v>
      </c>
      <c r="E2" t="s">
        <v>599</v>
      </c>
      <c r="H2" t="s">
        <v>28</v>
      </c>
      <c r="I2" t="s">
        <v>599</v>
      </c>
    </row>
    <row r="3" spans="1:9" x14ac:dyDescent="0.25">
      <c r="A3" t="s">
        <v>486</v>
      </c>
      <c r="B3" t="s">
        <v>1167</v>
      </c>
      <c r="C3" t="str">
        <f t="shared" ref="C3:C63" si="0">RIGHT(B3,LEN(B3)-FIND("-", B3))</f>
        <v>BA</v>
      </c>
      <c r="D3" t="s">
        <v>486</v>
      </c>
      <c r="H3" t="s">
        <v>488</v>
      </c>
      <c r="I3" t="s">
        <v>486</v>
      </c>
    </row>
    <row r="4" spans="1:9" x14ac:dyDescent="0.25">
      <c r="A4" t="s">
        <v>485</v>
      </c>
      <c r="B4" t="s">
        <v>1170</v>
      </c>
      <c r="C4" t="str">
        <f t="shared" si="0"/>
        <v>BAC</v>
      </c>
      <c r="D4" t="s">
        <v>486</v>
      </c>
      <c r="E4" t="s">
        <v>485</v>
      </c>
      <c r="H4" t="s">
        <v>513</v>
      </c>
      <c r="I4" t="s">
        <v>485</v>
      </c>
    </row>
    <row r="5" spans="1:9" x14ac:dyDescent="0.25">
      <c r="A5" t="s">
        <v>483</v>
      </c>
      <c r="B5" t="s">
        <v>1168</v>
      </c>
      <c r="C5" t="str">
        <f t="shared" si="0"/>
        <v>BECS</v>
      </c>
      <c r="D5" t="s">
        <v>486</v>
      </c>
      <c r="E5" t="s">
        <v>483</v>
      </c>
      <c r="H5" t="s">
        <v>639</v>
      </c>
      <c r="I5" t="s">
        <v>638</v>
      </c>
    </row>
    <row r="6" spans="1:9" x14ac:dyDescent="0.25">
      <c r="A6" t="s">
        <v>478</v>
      </c>
      <c r="B6" t="s">
        <v>1158</v>
      </c>
      <c r="C6" t="str">
        <f t="shared" si="0"/>
        <v>BEL</v>
      </c>
      <c r="D6" t="s">
        <v>463</v>
      </c>
      <c r="E6" t="s">
        <v>478</v>
      </c>
      <c r="H6" t="s">
        <v>511</v>
      </c>
      <c r="I6" t="s">
        <v>483</v>
      </c>
    </row>
    <row r="7" spans="1:9" x14ac:dyDescent="0.25">
      <c r="A7" t="s">
        <v>473</v>
      </c>
      <c r="B7" t="s">
        <v>1157</v>
      </c>
      <c r="C7" t="str">
        <f t="shared" si="0"/>
        <v>BMBG</v>
      </c>
      <c r="D7" t="s">
        <v>463</v>
      </c>
      <c r="E7" t="s">
        <v>465</v>
      </c>
      <c r="F7" t="s">
        <v>473</v>
      </c>
      <c r="H7" t="s">
        <v>489</v>
      </c>
      <c r="I7" t="s">
        <v>478</v>
      </c>
    </row>
    <row r="8" spans="1:9" x14ac:dyDescent="0.25">
      <c r="A8" t="s">
        <v>638</v>
      </c>
      <c r="B8" t="s">
        <v>1213</v>
      </c>
      <c r="C8" t="str">
        <f t="shared" si="0"/>
        <v>BAN</v>
      </c>
      <c r="D8" t="s">
        <v>634</v>
      </c>
      <c r="E8" t="s">
        <v>638</v>
      </c>
      <c r="H8" t="s">
        <v>493</v>
      </c>
      <c r="I8" t="s">
        <v>473</v>
      </c>
    </row>
    <row r="9" spans="1:9" x14ac:dyDescent="0.25">
      <c r="A9" t="s">
        <v>465</v>
      </c>
      <c r="B9" t="s">
        <v>1154</v>
      </c>
      <c r="C9" t="str">
        <f t="shared" si="0"/>
        <v>BOUL</v>
      </c>
      <c r="D9" t="s">
        <v>463</v>
      </c>
      <c r="E9" t="s">
        <v>465</v>
      </c>
      <c r="H9" t="s">
        <v>466</v>
      </c>
      <c r="I9" t="s">
        <v>465</v>
      </c>
    </row>
    <row r="10" spans="1:9" x14ac:dyDescent="0.25">
      <c r="A10" t="s">
        <v>517</v>
      </c>
      <c r="B10" t="s">
        <v>1171</v>
      </c>
      <c r="C10" t="str">
        <f t="shared" si="0"/>
        <v>BRB</v>
      </c>
      <c r="D10" t="s">
        <v>517</v>
      </c>
      <c r="H10" t="s">
        <v>523</v>
      </c>
      <c r="I10" t="s">
        <v>517</v>
      </c>
    </row>
    <row r="11" spans="1:9" x14ac:dyDescent="0.25">
      <c r="A11" t="s">
        <v>387</v>
      </c>
      <c r="B11" t="s">
        <v>1182</v>
      </c>
      <c r="C11" t="str">
        <f t="shared" si="0"/>
        <v>CK</v>
      </c>
      <c r="D11" t="s">
        <v>387</v>
      </c>
      <c r="H11" t="s">
        <v>150</v>
      </c>
      <c r="I11" t="s">
        <v>626</v>
      </c>
    </row>
    <row r="12" spans="1:9" x14ac:dyDescent="0.25">
      <c r="A12" t="s">
        <v>484</v>
      </c>
      <c r="B12" t="s">
        <v>1169</v>
      </c>
      <c r="C12" t="str">
        <f t="shared" si="0"/>
        <v>CHMS</v>
      </c>
      <c r="D12" t="s">
        <v>486</v>
      </c>
      <c r="E12" t="s">
        <v>484</v>
      </c>
      <c r="H12" t="s">
        <v>512</v>
      </c>
      <c r="I12" t="s">
        <v>484</v>
      </c>
    </row>
    <row r="13" spans="1:9" x14ac:dyDescent="0.25">
      <c r="A13" t="s">
        <v>479</v>
      </c>
      <c r="B13" t="s">
        <v>1164</v>
      </c>
      <c r="C13" t="str">
        <f t="shared" si="0"/>
        <v>CLEN</v>
      </c>
      <c r="D13" t="s">
        <v>463</v>
      </c>
      <c r="E13" t="s">
        <v>474</v>
      </c>
      <c r="F13" t="s">
        <v>479</v>
      </c>
      <c r="H13" t="s">
        <v>154</v>
      </c>
      <c r="I13" t="s">
        <v>387</v>
      </c>
    </row>
    <row r="14" spans="1:9" x14ac:dyDescent="0.25">
      <c r="A14" t="s">
        <v>480</v>
      </c>
      <c r="B14" t="s">
        <v>1165</v>
      </c>
      <c r="C14" t="str">
        <f t="shared" si="0"/>
        <v>COLW</v>
      </c>
      <c r="D14" t="s">
        <v>463</v>
      </c>
      <c r="E14" t="s">
        <v>474</v>
      </c>
      <c r="F14" t="s">
        <v>480</v>
      </c>
      <c r="H14" t="s">
        <v>497</v>
      </c>
      <c r="I14" t="s">
        <v>479</v>
      </c>
    </row>
    <row r="15" spans="1:9" x14ac:dyDescent="0.25">
      <c r="A15" t="s">
        <v>615</v>
      </c>
      <c r="B15" t="s">
        <v>1204</v>
      </c>
      <c r="C15" t="str">
        <f t="shared" si="0"/>
        <v>CR</v>
      </c>
      <c r="D15" t="s">
        <v>615</v>
      </c>
      <c r="H15" t="s">
        <v>498</v>
      </c>
      <c r="I15" t="s">
        <v>480</v>
      </c>
    </row>
    <row r="16" spans="1:9" x14ac:dyDescent="0.25">
      <c r="A16" t="s">
        <v>626</v>
      </c>
      <c r="B16" t="s">
        <v>1208</v>
      </c>
      <c r="C16" t="str">
        <f t="shared" si="0"/>
        <v>CB</v>
      </c>
      <c r="D16" t="s">
        <v>623</v>
      </c>
      <c r="E16" t="s">
        <v>626</v>
      </c>
      <c r="H16" t="s">
        <v>160</v>
      </c>
      <c r="I16" t="s">
        <v>615</v>
      </c>
    </row>
    <row r="17" spans="1:9" x14ac:dyDescent="0.25">
      <c r="A17" t="s">
        <v>469</v>
      </c>
      <c r="B17" t="s">
        <v>1155</v>
      </c>
      <c r="C17" t="str">
        <f t="shared" si="0"/>
        <v>CRMA</v>
      </c>
      <c r="D17" t="s">
        <v>463</v>
      </c>
      <c r="E17" t="s">
        <v>465</v>
      </c>
      <c r="F17" t="s">
        <v>469</v>
      </c>
      <c r="H17" t="s">
        <v>491</v>
      </c>
      <c r="I17" t="s">
        <v>469</v>
      </c>
    </row>
    <row r="18" spans="1:9" x14ac:dyDescent="0.25">
      <c r="A18" t="s">
        <v>542</v>
      </c>
      <c r="B18" t="s">
        <v>1184</v>
      </c>
      <c r="C18" t="str">
        <f t="shared" si="0"/>
        <v>CUCK</v>
      </c>
      <c r="D18" t="s">
        <v>387</v>
      </c>
      <c r="E18" t="s">
        <v>542</v>
      </c>
      <c r="H18" t="s">
        <v>552</v>
      </c>
      <c r="I18" t="s">
        <v>542</v>
      </c>
    </row>
    <row r="19" spans="1:9" x14ac:dyDescent="0.25">
      <c r="A19" t="s">
        <v>681</v>
      </c>
      <c r="B19" t="s">
        <v>1214</v>
      </c>
      <c r="C19" t="str">
        <f t="shared" si="0"/>
        <v>DEV</v>
      </c>
      <c r="D19" t="s">
        <v>681</v>
      </c>
      <c r="H19" t="s">
        <v>677</v>
      </c>
      <c r="I19" t="s">
        <v>681</v>
      </c>
    </row>
    <row r="20" spans="1:9" x14ac:dyDescent="0.25">
      <c r="A20" s="7" t="s">
        <v>516</v>
      </c>
      <c r="B20" t="s">
        <v>1174</v>
      </c>
      <c r="C20" t="str">
        <f t="shared" si="0"/>
        <v>EA</v>
      </c>
      <c r="D20" t="s">
        <v>517</v>
      </c>
      <c r="E20" t="s">
        <v>516</v>
      </c>
      <c r="H20" t="s">
        <v>526</v>
      </c>
      <c r="I20" t="s">
        <v>516</v>
      </c>
    </row>
    <row r="21" spans="1:9" x14ac:dyDescent="0.25">
      <c r="A21" t="s">
        <v>596</v>
      </c>
      <c r="B21" t="s">
        <v>1201</v>
      </c>
      <c r="C21" t="str">
        <f t="shared" si="0"/>
        <v>FRS</v>
      </c>
      <c r="D21" t="s">
        <v>588</v>
      </c>
      <c r="E21" t="s">
        <v>596</v>
      </c>
      <c r="H21" t="s">
        <v>495</v>
      </c>
      <c r="I21" t="s">
        <v>476</v>
      </c>
    </row>
    <row r="22" spans="1:9" x14ac:dyDescent="0.25">
      <c r="A22" t="s">
        <v>476</v>
      </c>
      <c r="B22" t="s">
        <v>1162</v>
      </c>
      <c r="C22" t="str">
        <f t="shared" si="0"/>
        <v>FISH</v>
      </c>
      <c r="D22" t="s">
        <v>463</v>
      </c>
      <c r="E22" t="s">
        <v>474</v>
      </c>
      <c r="F22" t="s">
        <v>476</v>
      </c>
      <c r="H22" t="s">
        <v>597</v>
      </c>
      <c r="I22" t="s">
        <v>596</v>
      </c>
    </row>
    <row r="23" spans="1:9" x14ac:dyDescent="0.25">
      <c r="A23" t="s">
        <v>585</v>
      </c>
      <c r="B23" t="s">
        <v>1197</v>
      </c>
      <c r="C23" t="str">
        <f t="shared" si="0"/>
        <v>GLT</v>
      </c>
      <c r="D23" t="s">
        <v>578</v>
      </c>
      <c r="E23" t="s">
        <v>585</v>
      </c>
      <c r="H23" t="s">
        <v>575</v>
      </c>
      <c r="I23" t="s">
        <v>574</v>
      </c>
    </row>
    <row r="24" spans="1:9" x14ac:dyDescent="0.25">
      <c r="A24" t="s">
        <v>574</v>
      </c>
      <c r="B24" t="s">
        <v>1194</v>
      </c>
      <c r="C24" t="str">
        <f t="shared" si="0"/>
        <v>GLML</v>
      </c>
      <c r="D24" t="s">
        <v>387</v>
      </c>
      <c r="E24" t="s">
        <v>549</v>
      </c>
      <c r="F24" t="s">
        <v>574</v>
      </c>
      <c r="H24" t="s">
        <v>586</v>
      </c>
      <c r="I24" t="s">
        <v>585</v>
      </c>
    </row>
    <row r="25" spans="1:9" x14ac:dyDescent="0.25">
      <c r="A25" t="s">
        <v>623</v>
      </c>
      <c r="B25" t="s">
        <v>1207</v>
      </c>
      <c r="C25" t="str">
        <f t="shared" si="0"/>
        <v>GOG</v>
      </c>
      <c r="D25" t="s">
        <v>623</v>
      </c>
      <c r="H25" t="s">
        <v>624</v>
      </c>
      <c r="I25" t="s">
        <v>623</v>
      </c>
    </row>
    <row r="26" spans="1:9" x14ac:dyDescent="0.25">
      <c r="A26" t="s">
        <v>471</v>
      </c>
      <c r="B26" t="s">
        <v>1156</v>
      </c>
      <c r="C26" t="str">
        <f t="shared" si="0"/>
        <v>HM</v>
      </c>
      <c r="D26" t="s">
        <v>463</v>
      </c>
      <c r="E26" t="s">
        <v>465</v>
      </c>
      <c r="F26" t="s">
        <v>471</v>
      </c>
      <c r="H26" t="s">
        <v>556</v>
      </c>
      <c r="I26" t="s">
        <v>547</v>
      </c>
    </row>
    <row r="27" spans="1:9" x14ac:dyDescent="0.25">
      <c r="A27" t="s">
        <v>713</v>
      </c>
      <c r="B27" t="s">
        <v>1179</v>
      </c>
      <c r="C27" t="str">
        <f t="shared" si="0"/>
        <v>HWH</v>
      </c>
      <c r="D27" t="s">
        <v>519</v>
      </c>
      <c r="E27" t="s">
        <v>713</v>
      </c>
      <c r="H27" t="s">
        <v>490</v>
      </c>
      <c r="I27" t="s">
        <v>474</v>
      </c>
    </row>
    <row r="28" spans="1:9" x14ac:dyDescent="0.25">
      <c r="A28" t="s">
        <v>474</v>
      </c>
      <c r="B28" t="s">
        <v>1159</v>
      </c>
      <c r="C28" t="str">
        <f t="shared" si="0"/>
        <v>HEHI</v>
      </c>
      <c r="D28" t="s">
        <v>463</v>
      </c>
      <c r="E28" t="s">
        <v>474</v>
      </c>
      <c r="H28" t="s">
        <v>492</v>
      </c>
      <c r="I28" t="s">
        <v>471</v>
      </c>
    </row>
    <row r="29" spans="1:9" x14ac:dyDescent="0.25">
      <c r="A29" t="s">
        <v>547</v>
      </c>
      <c r="B29" t="s">
        <v>1189</v>
      </c>
      <c r="C29" t="str">
        <f t="shared" si="0"/>
        <v>HCK</v>
      </c>
      <c r="D29" t="s">
        <v>387</v>
      </c>
      <c r="E29" t="s">
        <v>547</v>
      </c>
      <c r="H29" t="s">
        <v>714</v>
      </c>
      <c r="I29" t="s">
        <v>713</v>
      </c>
    </row>
    <row r="30" spans="1:9" x14ac:dyDescent="0.25">
      <c r="A30" t="s">
        <v>627</v>
      </c>
      <c r="B30" t="s">
        <v>1209</v>
      </c>
      <c r="C30" t="str">
        <f t="shared" si="0"/>
        <v>INO</v>
      </c>
      <c r="D30" t="s">
        <v>627</v>
      </c>
      <c r="H30" t="s">
        <v>628</v>
      </c>
      <c r="I30" t="s">
        <v>627</v>
      </c>
    </row>
    <row r="31" spans="1:9" x14ac:dyDescent="0.25">
      <c r="A31" t="s">
        <v>620</v>
      </c>
      <c r="B31" t="s">
        <v>1206</v>
      </c>
      <c r="C31" t="str">
        <f t="shared" si="0"/>
        <v>KLB</v>
      </c>
      <c r="E31" t="s">
        <v>620</v>
      </c>
      <c r="H31" t="s">
        <v>115</v>
      </c>
      <c r="I31" t="s">
        <v>613</v>
      </c>
    </row>
    <row r="32" spans="1:9" x14ac:dyDescent="0.25">
      <c r="A32" t="s">
        <v>613</v>
      </c>
      <c r="B32" t="s">
        <v>1203</v>
      </c>
      <c r="C32" t="str">
        <f t="shared" si="0"/>
        <v>KC</v>
      </c>
      <c r="E32" t="s">
        <v>613</v>
      </c>
      <c r="H32" t="s">
        <v>621</v>
      </c>
      <c r="I32" t="s">
        <v>620</v>
      </c>
    </row>
    <row r="33" spans="1:9" x14ac:dyDescent="0.25">
      <c r="A33" t="s">
        <v>477</v>
      </c>
      <c r="B33" t="s">
        <v>1163</v>
      </c>
      <c r="C33" t="str">
        <f t="shared" si="0"/>
        <v>LAFM</v>
      </c>
      <c r="D33" t="s">
        <v>463</v>
      </c>
      <c r="E33" t="s">
        <v>474</v>
      </c>
      <c r="F33" t="s">
        <v>477</v>
      </c>
      <c r="H33" t="s">
        <v>496</v>
      </c>
      <c r="I33" t="s">
        <v>477</v>
      </c>
    </row>
    <row r="34" spans="1:9" x14ac:dyDescent="0.25">
      <c r="A34" t="s">
        <v>521</v>
      </c>
      <c r="B34" t="s">
        <v>1180</v>
      </c>
      <c r="C34" t="str">
        <f t="shared" si="0"/>
        <v>LMBE</v>
      </c>
      <c r="D34" t="s">
        <v>521</v>
      </c>
      <c r="H34" t="s">
        <v>530</v>
      </c>
      <c r="I34" t="s">
        <v>520</v>
      </c>
    </row>
    <row r="35" spans="1:9" x14ac:dyDescent="0.25">
      <c r="A35" t="s">
        <v>545</v>
      </c>
      <c r="B35" t="s">
        <v>1187</v>
      </c>
      <c r="C35" t="str">
        <f t="shared" si="0"/>
        <v>LECH</v>
      </c>
      <c r="D35" t="s">
        <v>387</v>
      </c>
      <c r="E35" t="s">
        <v>545</v>
      </c>
      <c r="H35" t="s">
        <v>554</v>
      </c>
      <c r="I35" t="s">
        <v>545</v>
      </c>
    </row>
    <row r="36" spans="1:9" x14ac:dyDescent="0.25">
      <c r="A36" t="s">
        <v>629</v>
      </c>
      <c r="B36" t="s">
        <v>1210</v>
      </c>
      <c r="C36" t="str">
        <f t="shared" si="0"/>
        <v>LI</v>
      </c>
      <c r="D36" t="s">
        <v>629</v>
      </c>
      <c r="H36" t="s">
        <v>589</v>
      </c>
      <c r="I36" t="s">
        <v>588</v>
      </c>
    </row>
    <row r="37" spans="1:9" x14ac:dyDescent="0.25">
      <c r="A37" t="s">
        <v>520</v>
      </c>
      <c r="B37" t="s">
        <v>1177</v>
      </c>
      <c r="C37" t="str">
        <f t="shared" si="0"/>
        <v>LC</v>
      </c>
      <c r="D37" t="s">
        <v>519</v>
      </c>
      <c r="E37" t="s">
        <v>520</v>
      </c>
      <c r="H37" t="s">
        <v>630</v>
      </c>
      <c r="I37" t="s">
        <v>629</v>
      </c>
    </row>
    <row r="38" spans="1:9" x14ac:dyDescent="0.25">
      <c r="A38" t="s">
        <v>588</v>
      </c>
      <c r="B38" t="s">
        <v>1198</v>
      </c>
      <c r="C38" t="str">
        <f t="shared" si="0"/>
        <v>LGS</v>
      </c>
      <c r="D38" t="s">
        <v>588</v>
      </c>
      <c r="H38" t="s">
        <v>529</v>
      </c>
      <c r="I38" t="s">
        <v>521</v>
      </c>
    </row>
    <row r="39" spans="1:9" x14ac:dyDescent="0.25">
      <c r="A39" t="s">
        <v>515</v>
      </c>
      <c r="B39" t="s">
        <v>1173</v>
      </c>
      <c r="C39" t="str">
        <f t="shared" si="0"/>
        <v>MARF</v>
      </c>
      <c r="D39" t="s">
        <v>517</v>
      </c>
      <c r="E39" t="s">
        <v>515</v>
      </c>
      <c r="H39" t="s">
        <v>525</v>
      </c>
      <c r="I39" t="s">
        <v>515</v>
      </c>
    </row>
    <row r="40" spans="1:9" x14ac:dyDescent="0.25">
      <c r="A40" t="s">
        <v>567</v>
      </c>
      <c r="B40" t="s">
        <v>1190</v>
      </c>
      <c r="C40" t="str">
        <f t="shared" si="0"/>
        <v>MR</v>
      </c>
      <c r="D40" t="s">
        <v>387</v>
      </c>
      <c r="E40" t="s">
        <v>547</v>
      </c>
      <c r="F40" t="s">
        <v>567</v>
      </c>
      <c r="H40" t="s">
        <v>591</v>
      </c>
      <c r="I40" t="s">
        <v>590</v>
      </c>
    </row>
    <row r="41" spans="1:9" x14ac:dyDescent="0.25">
      <c r="A41" t="s">
        <v>634</v>
      </c>
      <c r="B41" t="s">
        <v>1212</v>
      </c>
      <c r="C41" t="str">
        <f t="shared" si="0"/>
        <v>MMG</v>
      </c>
      <c r="D41" t="s">
        <v>634</v>
      </c>
      <c r="H41" t="s">
        <v>635</v>
      </c>
      <c r="I41" t="s">
        <v>634</v>
      </c>
    </row>
    <row r="42" spans="1:9" x14ac:dyDescent="0.25">
      <c r="A42" t="s">
        <v>590</v>
      </c>
      <c r="B42" t="s">
        <v>1199</v>
      </c>
      <c r="C42" t="str">
        <f t="shared" si="0"/>
        <v>MBSA</v>
      </c>
      <c r="D42" t="s">
        <v>588</v>
      </c>
      <c r="E42" t="s">
        <v>590</v>
      </c>
      <c r="H42" t="s">
        <v>569</v>
      </c>
      <c r="I42" t="s">
        <v>567</v>
      </c>
    </row>
    <row r="43" spans="1:9" x14ac:dyDescent="0.25">
      <c r="A43" t="s">
        <v>546</v>
      </c>
      <c r="B43" t="s">
        <v>1188</v>
      </c>
      <c r="C43" t="str">
        <f t="shared" si="0"/>
        <v>NPCH</v>
      </c>
      <c r="D43" t="s">
        <v>387</v>
      </c>
      <c r="E43" t="s">
        <v>546</v>
      </c>
      <c r="H43" t="s">
        <v>551</v>
      </c>
      <c r="I43" t="s">
        <v>543</v>
      </c>
    </row>
    <row r="44" spans="1:9" x14ac:dyDescent="0.25">
      <c r="A44" t="s">
        <v>543</v>
      </c>
      <c r="B44" t="s">
        <v>1185</v>
      </c>
      <c r="C44" t="str">
        <f t="shared" si="0"/>
        <v>NCK</v>
      </c>
      <c r="D44" t="s">
        <v>387</v>
      </c>
      <c r="E44" t="s">
        <v>543</v>
      </c>
      <c r="H44" t="s">
        <v>555</v>
      </c>
      <c r="I44" t="s">
        <v>546</v>
      </c>
    </row>
    <row r="45" spans="1:9" x14ac:dyDescent="0.25">
      <c r="A45" t="s">
        <v>475</v>
      </c>
      <c r="B45" t="s">
        <v>1161</v>
      </c>
      <c r="C45" t="str">
        <f t="shared" si="0"/>
        <v>OSB</v>
      </c>
      <c r="D45" t="s">
        <v>463</v>
      </c>
      <c r="E45" t="s">
        <v>474</v>
      </c>
      <c r="F45" t="s">
        <v>475</v>
      </c>
      <c r="H45" t="s">
        <v>494</v>
      </c>
      <c r="I45" t="s">
        <v>475</v>
      </c>
    </row>
    <row r="46" spans="1:9" x14ac:dyDescent="0.25">
      <c r="A46" t="s">
        <v>617</v>
      </c>
      <c r="B46" t="s">
        <v>1205</v>
      </c>
      <c r="C46" t="str">
        <f t="shared" si="0"/>
        <v>OXC</v>
      </c>
      <c r="E46" t="s">
        <v>617</v>
      </c>
      <c r="H46" t="s">
        <v>618</v>
      </c>
      <c r="I46" t="s">
        <v>617</v>
      </c>
    </row>
    <row r="47" spans="1:9" x14ac:dyDescent="0.25">
      <c r="A47" t="s">
        <v>632</v>
      </c>
      <c r="B47" t="s">
        <v>1211</v>
      </c>
      <c r="C47" t="str">
        <f t="shared" si="0"/>
        <v>PNG</v>
      </c>
      <c r="D47" t="s">
        <v>632</v>
      </c>
      <c r="H47" t="s">
        <v>550</v>
      </c>
      <c r="I47" t="s">
        <v>541</v>
      </c>
    </row>
    <row r="48" spans="1:9" x14ac:dyDescent="0.25">
      <c r="A48" t="s">
        <v>568</v>
      </c>
      <c r="B48" t="s">
        <v>1191</v>
      </c>
      <c r="C48" t="str">
        <f t="shared" si="0"/>
        <v>PLMA</v>
      </c>
      <c r="D48" t="s">
        <v>387</v>
      </c>
      <c r="E48" t="s">
        <v>547</v>
      </c>
      <c r="F48" t="s">
        <v>568</v>
      </c>
      <c r="H48" t="s">
        <v>570</v>
      </c>
      <c r="I48" t="s">
        <v>568</v>
      </c>
    </row>
    <row r="49" spans="1:9" x14ac:dyDescent="0.25">
      <c r="A49" t="s">
        <v>541</v>
      </c>
      <c r="B49" t="s">
        <v>1183</v>
      </c>
      <c r="C49" t="str">
        <f t="shared" si="0"/>
        <v>PCK</v>
      </c>
      <c r="D49" t="s">
        <v>387</v>
      </c>
      <c r="E49" t="s">
        <v>541</v>
      </c>
      <c r="H49" t="s">
        <v>633</v>
      </c>
      <c r="I49" t="s">
        <v>632</v>
      </c>
    </row>
    <row r="50" spans="1:9" x14ac:dyDescent="0.25">
      <c r="A50" t="s">
        <v>682</v>
      </c>
      <c r="B50" t="s">
        <v>1178</v>
      </c>
      <c r="C50" t="str">
        <f t="shared" si="0"/>
        <v>POWH</v>
      </c>
      <c r="D50" t="s">
        <v>519</v>
      </c>
      <c r="E50" t="s">
        <v>520</v>
      </c>
      <c r="F50" t="s">
        <v>682</v>
      </c>
      <c r="H50" t="s">
        <v>539</v>
      </c>
      <c r="I50" t="s">
        <v>682</v>
      </c>
    </row>
    <row r="51" spans="1:9" x14ac:dyDescent="0.25">
      <c r="A51" t="s">
        <v>522</v>
      </c>
      <c r="B51" t="s">
        <v>1181</v>
      </c>
      <c r="C51" t="str">
        <f t="shared" si="0"/>
        <v>RB</v>
      </c>
      <c r="D51" t="s">
        <v>521</v>
      </c>
      <c r="E51" t="s">
        <v>522</v>
      </c>
      <c r="H51" t="s">
        <v>531</v>
      </c>
      <c r="I51" t="s">
        <v>522</v>
      </c>
    </row>
    <row r="52" spans="1:9" x14ac:dyDescent="0.25">
      <c r="A52" t="s">
        <v>593</v>
      </c>
      <c r="B52" t="s">
        <v>1200</v>
      </c>
      <c r="C52" t="str">
        <f t="shared" si="0"/>
        <v>SIOW</v>
      </c>
      <c r="D52" t="s">
        <v>588</v>
      </c>
      <c r="E52" t="s">
        <v>593</v>
      </c>
      <c r="H52" t="s">
        <v>501</v>
      </c>
      <c r="I52" t="s">
        <v>500</v>
      </c>
    </row>
    <row r="53" spans="1:9" x14ac:dyDescent="0.25">
      <c r="A53" t="s">
        <v>544</v>
      </c>
      <c r="B53" t="s">
        <v>1186</v>
      </c>
      <c r="C53" t="str">
        <f t="shared" si="0"/>
        <v>SECK</v>
      </c>
      <c r="D53" t="s">
        <v>387</v>
      </c>
      <c r="E53" t="s">
        <v>544</v>
      </c>
      <c r="H53" t="s">
        <v>553</v>
      </c>
      <c r="I53" t="s">
        <v>544</v>
      </c>
    </row>
    <row r="54" spans="1:9" x14ac:dyDescent="0.25">
      <c r="A54" t="s">
        <v>500</v>
      </c>
      <c r="B54" t="s">
        <v>1160</v>
      </c>
      <c r="C54" t="str">
        <f t="shared" si="0"/>
        <v>SEAB</v>
      </c>
      <c r="D54" t="s">
        <v>463</v>
      </c>
      <c r="E54" t="s">
        <v>474</v>
      </c>
      <c r="F54" t="s">
        <v>500</v>
      </c>
      <c r="H54" t="s">
        <v>577</v>
      </c>
      <c r="I54" t="s">
        <v>578</v>
      </c>
    </row>
    <row r="55" spans="1:9" x14ac:dyDescent="0.25">
      <c r="A55" t="s">
        <v>578</v>
      </c>
      <c r="B55" t="s">
        <v>1195</v>
      </c>
      <c r="C55" t="str">
        <f t="shared" si="0"/>
        <v>SELB</v>
      </c>
      <c r="D55" t="s">
        <v>578</v>
      </c>
      <c r="H55" t="s">
        <v>594</v>
      </c>
      <c r="I55" t="s">
        <v>593</v>
      </c>
    </row>
    <row r="56" spans="1:9" x14ac:dyDescent="0.25">
      <c r="A56" t="s">
        <v>514</v>
      </c>
      <c r="B56" t="s">
        <v>1172</v>
      </c>
      <c r="C56" t="str">
        <f t="shared" si="0"/>
        <v>SLSY</v>
      </c>
      <c r="D56" t="s">
        <v>517</v>
      </c>
      <c r="E56" t="s">
        <v>514</v>
      </c>
      <c r="H56" t="s">
        <v>524</v>
      </c>
      <c r="I56" t="s">
        <v>514</v>
      </c>
    </row>
    <row r="57" spans="1:9" x14ac:dyDescent="0.25">
      <c r="A57" t="s">
        <v>463</v>
      </c>
      <c r="B57" t="s">
        <v>1153</v>
      </c>
      <c r="C57" t="str">
        <f t="shared" si="0"/>
        <v>SOLT</v>
      </c>
      <c r="D57" t="s">
        <v>463</v>
      </c>
      <c r="H57" t="s">
        <v>464</v>
      </c>
      <c r="I57" t="s">
        <v>463</v>
      </c>
    </row>
    <row r="58" spans="1:9" x14ac:dyDescent="0.25">
      <c r="A58" t="s">
        <v>519</v>
      </c>
      <c r="B58" t="s">
        <v>1176</v>
      </c>
      <c r="C58" t="str">
        <f t="shared" si="0"/>
        <v>THAM</v>
      </c>
      <c r="D58" t="s">
        <v>519</v>
      </c>
      <c r="H58" t="s">
        <v>528</v>
      </c>
      <c r="I58" t="s">
        <v>519</v>
      </c>
    </row>
    <row r="59" spans="1:9" x14ac:dyDescent="0.25">
      <c r="A59" t="s">
        <v>482</v>
      </c>
      <c r="B59" t="s">
        <v>1166</v>
      </c>
      <c r="C59" t="str">
        <f t="shared" si="0"/>
        <v>TOTB</v>
      </c>
      <c r="D59" t="s">
        <v>463</v>
      </c>
      <c r="E59" t="s">
        <v>474</v>
      </c>
      <c r="F59" t="s">
        <v>482</v>
      </c>
      <c r="H59" t="s">
        <v>499</v>
      </c>
      <c r="I59" t="s">
        <v>482</v>
      </c>
    </row>
    <row r="60" spans="1:9" x14ac:dyDescent="0.25">
      <c r="A60" t="s">
        <v>581</v>
      </c>
      <c r="B60" t="s">
        <v>1196</v>
      </c>
      <c r="C60" t="str">
        <f t="shared" si="0"/>
        <v>UGS</v>
      </c>
      <c r="D60" t="s">
        <v>578</v>
      </c>
      <c r="E60" t="s">
        <v>581</v>
      </c>
      <c r="H60" t="s">
        <v>582</v>
      </c>
      <c r="I60" t="s">
        <v>581</v>
      </c>
    </row>
    <row r="61" spans="1:9" x14ac:dyDescent="0.25">
      <c r="A61" t="s">
        <v>549</v>
      </c>
      <c r="B61" t="s">
        <v>1193</v>
      </c>
      <c r="C61" t="str">
        <f t="shared" si="0"/>
        <v>WMCH</v>
      </c>
      <c r="D61" t="s">
        <v>387</v>
      </c>
      <c r="E61" t="s">
        <v>549</v>
      </c>
      <c r="H61" t="s">
        <v>558</v>
      </c>
      <c r="I61" t="s">
        <v>549</v>
      </c>
    </row>
    <row r="62" spans="1:9" x14ac:dyDescent="0.25">
      <c r="A62" t="s">
        <v>518</v>
      </c>
      <c r="B62" t="s">
        <v>1175</v>
      </c>
      <c r="C62" t="str">
        <f t="shared" si="0"/>
        <v>WTT</v>
      </c>
      <c r="D62" t="s">
        <v>517</v>
      </c>
      <c r="E62" t="s">
        <v>518</v>
      </c>
      <c r="H62" t="s">
        <v>527</v>
      </c>
      <c r="I62" t="s">
        <v>518</v>
      </c>
    </row>
    <row r="63" spans="1:9" x14ac:dyDescent="0.25">
      <c r="A63" t="s">
        <v>548</v>
      </c>
      <c r="B63" t="s">
        <v>1192</v>
      </c>
      <c r="C63" t="str">
        <f t="shared" si="0"/>
        <v>ZZCH</v>
      </c>
      <c r="D63" t="s">
        <v>387</v>
      </c>
      <c r="E63" t="s">
        <v>548</v>
      </c>
      <c r="H63" t="s">
        <v>557</v>
      </c>
      <c r="I63" t="s">
        <v>548</v>
      </c>
    </row>
  </sheetData>
  <sortState xmlns:xlrd2="http://schemas.microsoft.com/office/spreadsheetml/2017/richdata2" ref="H2:I63">
    <sortCondition ref="H2:H6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46</vt:i4>
      </vt:variant>
    </vt:vector>
  </HeadingPairs>
  <TitlesOfParts>
    <vt:vector size="60" baseType="lpstr">
      <vt:lpstr>PM1</vt:lpstr>
      <vt:lpstr>PM2</vt:lpstr>
      <vt:lpstr>PM3</vt:lpstr>
      <vt:lpstr>PM4</vt:lpstr>
      <vt:lpstr>PM5</vt:lpstr>
      <vt:lpstr>PM6</vt:lpstr>
      <vt:lpstr>PM7</vt:lpstr>
      <vt:lpstr>rdf</vt:lpstr>
      <vt:lpstr>References</vt:lpstr>
      <vt:lpstr>VocabularyCodes</vt:lpstr>
      <vt:lpstr>ContactProcess</vt:lpstr>
      <vt:lpstr>Lithology</vt:lpstr>
      <vt:lpstr>Paleoenvironment</vt:lpstr>
      <vt:lpstr>unitName</vt:lpstr>
      <vt:lpstr>Additional_Lithology_Description</vt:lpstr>
      <vt:lpstr>AgeMax</vt:lpstr>
      <vt:lpstr>AgeMin</vt:lpstr>
      <vt:lpstr>AgeProv</vt:lpstr>
      <vt:lpstr>Basal_Contact</vt:lpstr>
      <vt:lpstr>BasalBoundaryID</vt:lpstr>
      <vt:lpstr>BasalContactID</vt:lpstr>
      <vt:lpstr>BasalContactProcessURI</vt:lpstr>
      <vt:lpstr>BasalContactSubClassURI</vt:lpstr>
      <vt:lpstr>Bed</vt:lpstr>
      <vt:lpstr>Bed_Code</vt:lpstr>
      <vt:lpstr>Dominant_Lithology</vt:lpstr>
      <vt:lpstr>Dominant_Lithology_Code</vt:lpstr>
      <vt:lpstr>DominantLithURI</vt:lpstr>
      <vt:lpstr>Formation</vt:lpstr>
      <vt:lpstr>Formation_Code</vt:lpstr>
      <vt:lpstr>Group</vt:lpstr>
      <vt:lpstr>Group_Code</vt:lpstr>
      <vt:lpstr>label</vt:lpstr>
      <vt:lpstr>LithoStratClass</vt:lpstr>
      <vt:lpstr>Lookup_contact</vt:lpstr>
      <vt:lpstr>Lookup_environment</vt:lpstr>
      <vt:lpstr>Lookup_Lithology</vt:lpstr>
      <vt:lpstr>LookupAbbrev</vt:lpstr>
      <vt:lpstr>Member</vt:lpstr>
      <vt:lpstr>Member_Code</vt:lpstr>
      <vt:lpstr>Other_Dominant_Lithology_Code</vt:lpstr>
      <vt:lpstr>Other_Subordinate_Lithology_Code</vt:lpstr>
      <vt:lpstr>Palaeoenvironment</vt:lpstr>
      <vt:lpstr>PaleoenvURI</vt:lpstr>
      <vt:lpstr>part_of</vt:lpstr>
      <vt:lpstr>References</vt:lpstr>
      <vt:lpstr>Regional_Composite_Column_ID</vt:lpstr>
      <vt:lpstr>Subordinate_Lithology</vt:lpstr>
      <vt:lpstr>Subordinate_Lithology_Code</vt:lpstr>
      <vt:lpstr>SubordinateLithURI</vt:lpstr>
      <vt:lpstr>Thickness_Range__m</vt:lpstr>
      <vt:lpstr>ThicknessMax</vt:lpstr>
      <vt:lpstr>ThicknessMin</vt:lpstr>
      <vt:lpstr>ThicknessProv</vt:lpstr>
      <vt:lpstr>TopBoundaryID</vt:lpstr>
      <vt:lpstr>TopBoundaryProcess</vt:lpstr>
      <vt:lpstr>UnderlyingUnit</vt:lpstr>
      <vt:lpstr>underlyingUnitURI</vt:lpstr>
      <vt:lpstr>UnitURI</vt:lpstr>
      <vt:lpstr>unitURIlookup</vt:lpstr>
    </vt:vector>
  </TitlesOfParts>
  <Company>The British Geological Survey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Woods, Mark A.</dc:creator>
  <cp:lastModifiedBy>Stephen Richard</cp:lastModifiedBy>
  <dcterms:created xsi:type="dcterms:W3CDTF">2019-05-22T08:32:12Z</dcterms:created>
  <dcterms:modified xsi:type="dcterms:W3CDTF">2020-10-03T22:25:15Z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e60104ec-5bd9-4876-a656-da3ee37f5914</vt:lpwstr>
  </property>
</Properties>
</file>